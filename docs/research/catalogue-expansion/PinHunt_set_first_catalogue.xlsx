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Set_Member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PinHunt set-first catalogue workbook</t>
        </is>
      </c>
    </row>
    <row r="2">
      <c r="A2" t="inlineStr">
        <is>
          <t>Status: every seeded row is a RESEARCH CANDIDATE from public sources. Nothing here is verified or imported.</t>
        </is>
      </c>
    </row>
    <row r="3">
      <c r="A3" t="inlineStr">
        <is>
          <t>Sets: one row per pin set / release (the unit we discover, check and approve). Formulas compute missing pins and completeness.</t>
        </is>
      </c>
    </row>
    <row r="4">
      <c r="A4" t="inlineStr">
        <is>
          <t>Set_Members: one row per known pin slot in a set (found by research or from an official checklist). Missing slots can be added as rows with status 'missing'.</t>
        </is>
      </c>
    </row>
    <row r="5">
      <c r="A5" t="inlineStr">
        <is>
          <t>Evidence: one row per source per set (official / news / fan; how it was accessed). Fan databases are discovery signals only.</t>
        </is>
      </c>
    </row>
    <row r="6">
      <c r="A6" t="inlineStr">
        <is>
          <t>Coverage: release year x line counts, driven by formulas over Sets.</t>
        </is>
      </c>
    </row>
    <row r="7">
      <c r="A7" t="inlineStr">
        <is>
          <t>Lookups: allowed values (drop-downs).</t>
        </is>
      </c>
    </row>
    <row r="8">
      <c r="A8" t="inlineStr">
        <is>
          <t>Workflow: discovered -&gt; evidenced (2+ independent sources or official) -&gt; checked (person on official page / own photo) -&gt; approved -&gt; imported.</t>
        </is>
      </c>
    </row>
    <row r="9">
      <c r="A9" t="inlineStr">
        <is>
          <t>Seed source: research/catalogue-engine/out/consolidated/staging_payload.json (404 sets, 871 pins).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60" customWidth="1" min="21" max="21"/>
    <col width="30" customWidth="1" min="22" max="22"/>
    <col width="16" customWidth="1" min="23" max="23"/>
    <col width="16" customWidth="1" min="24" max="24"/>
    <col width="50" customWidth="1" min="25" max="25"/>
    <col width="16" customWidth="1" min="26" max="26"/>
    <col width="40" customWidth="1" min="27" max="27"/>
    <col width="16" customWidth="1" min="28" max="28"/>
    <col width="16" customWidth="1" min="29" max="29"/>
    <col width="16" customWidth="1" min="30" max="30"/>
    <col width="16" customWidth="1" min="31" max="31"/>
    <col width="40" customWidth="1" min="32" max="32"/>
    <col width="46" customWidth="1" min="33" max="33"/>
  </cols>
  <sheetData>
    <row r="1">
      <c r="A1" s="2" t="inlineStr">
        <is>
          <t>set_id</t>
        </is>
      </c>
      <c r="B1" s="2" t="inlineStr">
        <is>
          <t>set_name</t>
        </is>
      </c>
      <c r="C1" s="2" t="inlineStr">
        <is>
          <t>line / origin</t>
        </is>
      </c>
      <c r="D1" s="2" t="inlineStr">
        <is>
          <t>issuer</t>
        </is>
      </c>
      <c r="E1" s="2" t="inlineStr">
        <is>
          <t>release_date</t>
        </is>
      </c>
      <c r="F1" s="2" t="inlineStr">
        <is>
          <t>release_year</t>
        </is>
      </c>
      <c r="G1" s="2" t="inlineStr">
        <is>
          <t>family / programme</t>
        </is>
      </c>
      <c r="H1" s="2" t="inlineStr">
        <is>
          <t>sub_series</t>
        </is>
      </c>
      <c r="I1" s="2" t="inlineStr">
        <is>
          <t>format</t>
        </is>
      </c>
      <c r="J1" s="2" t="inlineStr">
        <is>
          <t>pins_per_pack</t>
        </is>
      </c>
      <c r="K1" s="2" t="inlineStr">
        <is>
          <t>has_chaser</t>
        </is>
      </c>
      <c r="L1" s="2" t="inlineStr">
        <is>
          <t>edition_type</t>
        </is>
      </c>
      <c r="M1" s="2" t="inlineStr">
        <is>
          <t>edition_size</t>
        </is>
      </c>
      <c r="N1" s="2" t="inlineStr">
        <is>
          <t>price</t>
        </is>
      </c>
      <c r="O1" s="2" t="inlineStr">
        <is>
          <t>currency</t>
        </is>
      </c>
      <c r="P1" s="2" t="inlineStr">
        <is>
          <t>product_code</t>
        </is>
      </c>
      <c r="Q1" s="2" t="inlineStr">
        <is>
          <t>expected_pins</t>
        </is>
      </c>
      <c r="R1" s="2" t="inlineStr">
        <is>
          <t>pins_found</t>
        </is>
      </c>
      <c r="S1" s="2" t="inlineStr">
        <is>
          <t>missing_pins</t>
        </is>
      </c>
      <c r="T1" s="2" t="inlineStr">
        <is>
          <t>completeness</t>
        </is>
      </c>
      <c r="U1" s="2" t="inlineStr">
        <is>
          <t>characters_found</t>
        </is>
      </c>
      <c r="V1" s="2" t="inlineStr">
        <is>
          <t>missing_characters (known)</t>
        </is>
      </c>
      <c r="W1" s="2" t="inlineStr">
        <is>
          <t>status</t>
        </is>
      </c>
      <c r="X1" s="2" t="inlineStr">
        <is>
          <t>confidence</t>
        </is>
      </c>
      <c r="Y1" s="2" t="inlineStr">
        <is>
          <t>primary_source_url</t>
        </is>
      </c>
      <c r="Z1" s="2" t="inlineStr">
        <is>
          <t>primary_source_class</t>
        </is>
      </c>
      <c r="AA1" s="2" t="inlineStr">
        <is>
          <t>second_source_url</t>
        </is>
      </c>
      <c r="AB1" s="2" t="inlineStr">
        <is>
          <t>independent_publishers</t>
        </is>
      </c>
      <c r="AC1" s="2" t="inlineStr">
        <is>
          <t>pinhunt_ids</t>
        </is>
      </c>
      <c r="AD1" s="2" t="inlineStr">
        <is>
          <t>reviewer</t>
        </is>
      </c>
      <c r="AE1" s="2" t="inlineStr">
        <is>
          <t>reviewed_at</t>
        </is>
      </c>
      <c r="AF1" s="2" t="inlineStr">
        <is>
          <t>notes</t>
        </is>
      </c>
      <c r="AG1" s="2" t="inlineStr">
        <is>
          <t>research_key</t>
        </is>
      </c>
    </row>
    <row r="2">
      <c r="A2" t="inlineStr">
        <is>
          <t>PHS-0001</t>
        </is>
      </c>
      <c r="B2" t="inlineStr">
        <is>
          <t>Disney Animated Cuties Mystery Pin Blind Pack – 2-Pc.</t>
        </is>
      </c>
      <c r="C2" t="inlineStr">
        <is>
          <t>Animated Cuties</t>
        </is>
      </c>
      <c r="D2" t="inlineStr">
        <is>
          <t>Disney Store</t>
        </is>
      </c>
      <c r="E2" t="inlineStr">
        <is>
          <t>2026-01</t>
        </is>
      </c>
      <c r="F2" t="n">
        <v>2026</v>
      </c>
      <c r="G2" t="inlineStr"/>
      <c r="H2" t="inlineStr"/>
      <c r="I2" t="inlineStr">
        <is>
          <t>mystery blind box, 2 random pins</t>
        </is>
      </c>
      <c r="J2" t="n">
        <v>2</v>
      </c>
      <c r="K2" t="inlineStr"/>
      <c r="L2" t="inlineStr">
        <is>
          <t>open edition</t>
        </is>
      </c>
      <c r="M2" t="inlineStr"/>
      <c r="N2" t="n">
        <v>22.99</v>
      </c>
      <c r="O2" t="inlineStr">
        <is>
          <t>USD</t>
        </is>
      </c>
      <c r="P2" t="inlineStr">
        <is>
          <t>US: 438030741301 | Asia/EU: 438030755384</t>
        </is>
      </c>
      <c r="Q2" t="n">
        <v>8</v>
      </c>
      <c r="R2" t="n">
        <v>8</v>
      </c>
      <c r="S2">
        <f>IF(Q2="","",MAX(Q2-R2,0))</f>
        <v/>
      </c>
      <c r="T2" s="3">
        <f>IF(Q2="","",MIN(R2/Q2,1))</f>
        <v/>
      </c>
      <c r="U2" t="inlineStr">
        <is>
          <t>Aladdin; Alice; Esmeralda; Esmerelda; Jim Hawkins; Megara; Peter Pan; Pinocchio; Tinker Bell</t>
        </is>
      </c>
      <c r="V2" t="inlineStr"/>
      <c r="W2" t="inlineStr">
        <is>
          <t>evidenced</t>
        </is>
      </c>
      <c r="X2" t="inlineStr">
        <is>
          <t>Medium</t>
        </is>
      </c>
      <c r="Y2" t="inlineStr">
        <is>
          <t>https://www.disneystore.asia/my/disney-animated-cuties-mystery-2-piece-pin-blind-pack-438030755384.html</t>
        </is>
      </c>
      <c r="Z2" t="inlineStr">
        <is>
          <t>official</t>
        </is>
      </c>
      <c r="AA2" t="inlineStr">
        <is>
          <t>https://www.disneystore.com/disney-animated-cuties-mystery-pin-blind-pack-2-pc.-438030741301.html</t>
        </is>
      </c>
      <c r="AB2" t="n">
        <v>8</v>
      </c>
      <c r="AC2" t="inlineStr"/>
      <c r="AD2" t="inlineStr"/>
      <c r="AE2" t="inlineStr"/>
      <c r="AF2" t="inlineStr"/>
      <c r="AG2" t="inlineStr">
        <is>
          <t>animated-cuties/series-1</t>
        </is>
      </c>
    </row>
    <row r="3">
      <c r="A3" t="inlineStr">
        <is>
          <t>PHS-0002</t>
        </is>
      </c>
      <c r="B3" t="inlineStr">
        <is>
          <t>Animated Cuties Series 2 Mystery Pin Set</t>
        </is>
      </c>
      <c r="C3" t="inlineStr">
        <is>
          <t>Animated Cuties</t>
        </is>
      </c>
      <c r="D3" t="inlineStr"/>
      <c r="E3" t="inlineStr">
        <is>
          <t>2026-10</t>
        </is>
      </c>
      <c r="F3" t="n">
        <v>2026</v>
      </c>
      <c r="G3" t="inlineStr"/>
      <c r="H3" t="inlineStr">
        <is>
          <t>Series 2</t>
        </is>
      </c>
      <c r="I3" t="inlineStr"/>
      <c r="J3" t="n">
        <v>2</v>
      </c>
      <c r="K3" t="inlineStr"/>
      <c r="L3" t="inlineStr">
        <is>
          <t>open edition</t>
        </is>
      </c>
      <c r="M3" t="inlineStr"/>
      <c r="N3" t="n">
        <v>22.99</v>
      </c>
      <c r="O3" t="inlineStr">
        <is>
          <t>USD</t>
        </is>
      </c>
      <c r="P3" t="inlineStr"/>
      <c r="Q3" t="n">
        <v>8</v>
      </c>
      <c r="R3" t="n">
        <v>8</v>
      </c>
      <c r="S3">
        <f>IF(Q3="","",MAX(Q3-R3,0))</f>
        <v/>
      </c>
      <c r="T3" s="3">
        <f>IF(Q3="","",MIN(R3/Q3,1))</f>
        <v/>
      </c>
      <c r="U3" t="inlineStr">
        <is>
          <t>Ariel; Flynn Rider; Hercules; Kuzco; Li Shang; Maleficent; Sally; Vanellope</t>
        </is>
      </c>
      <c r="V3" t="inlineStr"/>
      <c r="W3" t="inlineStr">
        <is>
          <t>evidenced</t>
        </is>
      </c>
      <c r="X3" t="inlineStr">
        <is>
          <t>Low</t>
        </is>
      </c>
      <c r="Y3" t="inlineStr">
        <is>
          <t>https://disneypinsblog.com/blogs/news/animated-cuties-series-2-mystery-pin-set-at-disney-parks</t>
        </is>
      </c>
      <c r="Z3" t="inlineStr">
        <is>
          <t>secondary</t>
        </is>
      </c>
      <c r="AA3" t="inlineStr">
        <is>
          <t>https://www.threads.com/@disneypinsblog/post/DeS8m9FjKzi/new-animated-cuties-series-mystery-pin-set-at-disney-parks-open-edition-and-the/</t>
        </is>
      </c>
      <c r="AB3" t="n">
        <v>2</v>
      </c>
      <c r="AC3" t="inlineStr"/>
      <c r="AD3" t="inlineStr"/>
      <c r="AE3" t="inlineStr"/>
      <c r="AF3" t="inlineStr"/>
      <c r="AG3" t="inlineStr">
        <is>
          <t>animated-cuties/series-2</t>
        </is>
      </c>
    </row>
    <row r="4">
      <c r="A4" t="inlineStr">
        <is>
          <t>PHS-0003</t>
        </is>
      </c>
      <c r="B4" t="inlineStr">
        <is>
          <t>limited edition</t>
        </is>
      </c>
      <c r="C4" t="inlineStr">
        <is>
          <t>Brush Of Magic</t>
        </is>
      </c>
      <c r="D4" t="inlineStr"/>
      <c r="E4" t="inlineStr"/>
      <c r="G4" t="inlineStr"/>
      <c r="H4" t="inlineStr">
        <is>
          <t>Limited Edition singles</t>
        </is>
      </c>
      <c r="I4" t="inlineStr">
        <is>
          <t>pin-on-pin: full-colour cloisonne top layer over laser-printed sketch on 'pegged animation paper', 3D Mickey glove with brushes</t>
        </is>
      </c>
      <c r="J4" t="inlineStr"/>
      <c r="K4" t="inlineStr"/>
      <c r="L4" t="inlineStr">
        <is>
          <t>limited edition</t>
        </is>
      </c>
      <c r="M4" t="inlineStr"/>
      <c r="N4" t="n">
        <v>24.99</v>
      </c>
      <c r="O4" t="inlineStr">
        <is>
          <t>USD</t>
        </is>
      </c>
      <c r="P4" t="inlineStr"/>
      <c r="Q4" t="inlineStr"/>
      <c r="R4" t="n">
        <v>18</v>
      </c>
      <c r="S4">
        <f>IF(Q4="","",MAX(Q4-R4,0))</f>
        <v/>
      </c>
      <c r="T4" s="3">
        <f>IF(Q4="","",MIN(R4/Q4,1))</f>
        <v/>
      </c>
      <c r="U4" t="inlineStr">
        <is>
          <t>Aladdin; Ariel; Bambi; Belle; Captain Hook; Cinderella; Darkwing Duck; Donald Duck; Dumbo; Gadget Hackwrench; Genie; Grumpy; Hades; Hercules; Maleficent; Marie; Mickey Mouse; Sorcerer Mickey</t>
        </is>
      </c>
      <c r="V4" t="inlineStr"/>
      <c r="W4" t="inlineStr">
        <is>
          <t>evidenced (held)</t>
        </is>
      </c>
      <c r="X4" t="inlineStr">
        <is>
          <t>Unverified</t>
        </is>
      </c>
      <c r="Y4" t="inlineStr">
        <is>
          <t>https://www.disneystore.asia/hercules-limited-edition-pin-brush-of-magic-438010541600.html</t>
        </is>
      </c>
      <c r="Z4" t="inlineStr">
        <is>
          <t>official</t>
        </is>
      </c>
      <c r="AA4" t="inlineStr">
        <is>
          <t>https://www.disneystore.asia/maleficent-limited-edition-pin-sleeping-beauty-brush-of-magic-438010541112.html</t>
        </is>
      </c>
      <c r="AB4" t="n">
        <v>15</v>
      </c>
      <c r="AC4" t="inlineStr"/>
      <c r="AD4" t="inlineStr"/>
      <c r="AE4" t="inlineStr"/>
      <c r="AF4" t="inlineStr"/>
      <c r="AG4" t="inlineStr">
        <is>
          <t>brush-of-magic/limited-edition</t>
        </is>
      </c>
    </row>
    <row r="5">
      <c r="A5" t="inlineStr">
        <is>
          <t>PHS-0004</t>
        </is>
      </c>
      <c r="B5" t="inlineStr">
        <is>
          <t>Disney Brush of Magic Limited Release Mystery Pin Set</t>
        </is>
      </c>
      <c r="C5" t="inlineStr">
        <is>
          <t>Brush Of Magic</t>
        </is>
      </c>
      <c r="D5" t="inlineStr"/>
      <c r="E5" t="inlineStr">
        <is>
          <t>2026-03-03</t>
        </is>
      </c>
      <c r="F5" t="n">
        <v>2026</v>
      </c>
      <c r="G5" t="inlineStr"/>
      <c r="H5" t="inlineStr"/>
      <c r="I5" t="inlineStr"/>
      <c r="J5" t="n">
        <v>2</v>
      </c>
      <c r="K5" t="inlineStr"/>
      <c r="L5" t="inlineStr">
        <is>
          <t>limited release</t>
        </is>
      </c>
      <c r="M5" t="inlineStr"/>
      <c r="N5" t="n">
        <v>34.99</v>
      </c>
      <c r="O5" t="inlineStr">
        <is>
          <t>US: USD | UK: GBP</t>
        </is>
      </c>
      <c r="P5" t="inlineStr">
        <is>
          <t>US: 438010101590 | AU/UK: 438030648549</t>
        </is>
      </c>
      <c r="Q5" t="n">
        <v>10</v>
      </c>
      <c r="R5" t="n">
        <v>10</v>
      </c>
      <c r="S5">
        <f>IF(Q5="","",MAX(Q5-R5,0))</f>
        <v/>
      </c>
      <c r="T5" s="3">
        <f>IF(Q5="","",MIN(R5/Q5,1))</f>
        <v/>
      </c>
      <c r="U5" t="inlineStr">
        <is>
          <t>Cheshire Cat; Dopey; Goofy; Oswald; Peter Pan; Pluto; Stitch; Tod; Todd; Ursula; Winnie; Winnie the Pooh</t>
        </is>
      </c>
      <c r="V5" t="inlineStr"/>
      <c r="W5" t="inlineStr">
        <is>
          <t>evidenced (held)</t>
        </is>
      </c>
      <c r="X5" t="inlineStr">
        <is>
          <t>Medium</t>
        </is>
      </c>
      <c r="Y5" t="inlineStr">
        <is>
          <t>https://www.disneystore.co.uk/disney-brush-of-magic-limited-release-mystery-pin-set-438030648549.html</t>
        </is>
      </c>
      <c r="Z5" t="inlineStr">
        <is>
          <t>official</t>
        </is>
      </c>
      <c r="AA5" t="inlineStr">
        <is>
          <t>https://www.disneystore.com.au/disney-brush-of-magic-2-piece-mystery-pin-blind-pack-series-1-438030648549.html</t>
        </is>
      </c>
      <c r="AB5" t="n">
        <v>5</v>
      </c>
      <c r="AC5" t="inlineStr"/>
      <c r="AD5" t="inlineStr"/>
      <c r="AE5" t="inlineStr"/>
      <c r="AF5" t="inlineStr"/>
      <c r="AG5" t="inlineStr">
        <is>
          <t>brush-of-magic/mystery-series-1</t>
        </is>
      </c>
    </row>
    <row r="6">
      <c r="A6" t="inlineStr">
        <is>
          <t>PHS-0005</t>
        </is>
      </c>
      <c r="B6" t="inlineStr">
        <is>
          <t>Disney Brush of Magic Mystery Pin Blind Pack Series 2 - 2-Pc. - Limited Release</t>
        </is>
      </c>
      <c r="C6" t="inlineStr">
        <is>
          <t>Brush Of Magic</t>
        </is>
      </c>
      <c r="D6" t="inlineStr"/>
      <c r="E6" t="inlineStr">
        <is>
          <t>2026-06-16</t>
        </is>
      </c>
      <c r="F6" t="n">
        <v>2026</v>
      </c>
      <c r="G6" t="inlineStr"/>
      <c r="H6" t="inlineStr"/>
      <c r="I6" t="inlineStr"/>
      <c r="J6" t="n">
        <v>2</v>
      </c>
      <c r="K6" t="inlineStr"/>
      <c r="L6" t="inlineStr">
        <is>
          <t>limited release</t>
        </is>
      </c>
      <c r="M6" t="inlineStr"/>
      <c r="N6" t="n">
        <v>34.99</v>
      </c>
      <c r="O6" t="inlineStr">
        <is>
          <t>USD</t>
        </is>
      </c>
      <c r="P6" t="inlineStr">
        <is>
          <t>438010243900</t>
        </is>
      </c>
      <c r="Q6" t="n">
        <v>10</v>
      </c>
      <c r="R6" t="n">
        <v>10</v>
      </c>
      <c r="S6">
        <f>IF(Q6="","",MAX(Q6-R6,0))</f>
        <v/>
      </c>
      <c r="T6" s="3">
        <f>IF(Q6="","",MIN(R6/Q6,1))</f>
        <v/>
      </c>
      <c r="U6" t="inlineStr">
        <is>
          <t>Baloo; Chip; Dale; Jafar; Minnie Mouse; Pascal; Pegasus; Pinocchio; Pongo; Simba; Tigger</t>
        </is>
      </c>
      <c r="V6" t="inlineStr"/>
      <c r="W6" t="inlineStr">
        <is>
          <t>evidenced (held)</t>
        </is>
      </c>
      <c r="X6" t="inlineStr">
        <is>
          <t>Low</t>
        </is>
      </c>
      <c r="Y6" t="inlineStr">
        <is>
          <t>https://disneypinsblog.com/brush-of-magic-series-2-mystery-pin-set-at-disney-store/</t>
        </is>
      </c>
      <c r="Z6" t="inlineStr">
        <is>
          <t>secondary</t>
        </is>
      </c>
      <c r="AA6" t="inlineStr">
        <is>
          <t>https://www.dismerchandise.com/2026/06/16/disney-brush-of-magic-mystery-pin-blind-pack-series-2-2-pc-limited-release/</t>
        </is>
      </c>
      <c r="AB6" t="n">
        <v>4</v>
      </c>
      <c r="AC6" t="inlineStr"/>
      <c r="AD6" t="inlineStr"/>
      <c r="AE6" t="inlineStr"/>
      <c r="AF6" t="inlineStr"/>
      <c r="AG6" t="inlineStr">
        <is>
          <t>brush-of-magic/mystery-series-2</t>
        </is>
      </c>
    </row>
    <row r="7">
      <c r="A7" t="inlineStr">
        <is>
          <t>PHS-0006</t>
        </is>
      </c>
      <c r="B7" t="inlineStr">
        <is>
          <t>Disney Brush of Magic Series 3 Limited Release Mystery Pin Set</t>
        </is>
      </c>
      <c r="C7" t="inlineStr">
        <is>
          <t>Brush Of Magic</t>
        </is>
      </c>
      <c r="D7" t="inlineStr"/>
      <c r="E7" t="inlineStr">
        <is>
          <t>2026-09-01</t>
        </is>
      </c>
      <c r="F7" t="n">
        <v>2026</v>
      </c>
      <c r="G7" t="inlineStr"/>
      <c r="H7" t="inlineStr"/>
      <c r="I7" t="inlineStr"/>
      <c r="J7" t="n">
        <v>2</v>
      </c>
      <c r="K7" t="inlineStr"/>
      <c r="L7" t="inlineStr">
        <is>
          <t>limited release</t>
        </is>
      </c>
      <c r="M7" t="inlineStr"/>
      <c r="N7" t="n">
        <v>34.99</v>
      </c>
      <c r="O7" t="inlineStr">
        <is>
          <t>US: USD | UK: GBP</t>
        </is>
      </c>
      <c r="P7" t="inlineStr">
        <is>
          <t>US: 438010809137 | Asia/UK: 438011184943</t>
        </is>
      </c>
      <c r="Q7" t="n">
        <v>10</v>
      </c>
      <c r="R7" t="n">
        <v>10</v>
      </c>
      <c r="S7">
        <f>IF(Q7="","",MAX(Q7-R7,0))</f>
        <v/>
      </c>
      <c r="T7" s="3">
        <f>IF(Q7="","",MIN(R7/Q7,1))</f>
        <v/>
      </c>
      <c r="U7" t="inlineStr">
        <is>
          <t>Chernabog; Cruella de Vil; Daisy Duck; Dodger; Gaston; Louis; Megara; Mr. Toad; Powerline; Zazu</t>
        </is>
      </c>
      <c r="V7" t="inlineStr"/>
      <c r="W7" t="inlineStr">
        <is>
          <t>evidenced</t>
        </is>
      </c>
      <c r="X7" t="inlineStr">
        <is>
          <t>Medium</t>
        </is>
      </c>
      <c r="Y7" t="inlineStr">
        <is>
          <t>https://www.disneystore.asia/my/disney-brush-of-magic-series-3-limited-release-mystery-pin-set-438011184943.html</t>
        </is>
      </c>
      <c r="Z7" t="inlineStr">
        <is>
          <t>official</t>
        </is>
      </c>
      <c r="AA7" t="inlineStr">
        <is>
          <t>https://www.disneystore.co.uk/disney-brush-of-magic-series-3-limited-release-mystery-pin-set-438011184943.html</t>
        </is>
      </c>
      <c r="AB7" t="n">
        <v>5</v>
      </c>
      <c r="AC7" t="inlineStr"/>
      <c r="AD7" t="inlineStr"/>
      <c r="AE7" t="inlineStr"/>
      <c r="AF7" t="inlineStr"/>
      <c r="AG7" t="inlineStr">
        <is>
          <t>brush-of-magic/mystery-series-3</t>
        </is>
      </c>
    </row>
    <row r="8">
      <c r="A8" t="inlineStr">
        <is>
          <t>PHS-0007</t>
        </is>
      </c>
      <c r="B8" t="inlineStr">
        <is>
          <t>Disney Classics London Pin Set</t>
        </is>
      </c>
      <c r="C8" t="inlineStr">
        <is>
          <t>Disney Classics London</t>
        </is>
      </c>
      <c r="D8" t="inlineStr">
        <is>
          <t>Disney Store</t>
        </is>
      </c>
      <c r="E8" t="inlineStr"/>
      <c r="G8" t="inlineStr">
        <is>
          <t>Disney Classics</t>
        </is>
      </c>
      <c r="H8" t="inlineStr">
        <is>
          <t>London</t>
        </is>
      </c>
      <c r="I8" t="inlineStr">
        <is>
          <t>boxed/carded multi-pin set (non-mystery)</t>
        </is>
      </c>
      <c r="J8" t="n">
        <v>3</v>
      </c>
      <c r="K8" t="inlineStr"/>
      <c r="L8" t="inlineStr"/>
      <c r="M8" t="inlineStr"/>
      <c r="N8" t="n">
        <v>20</v>
      </c>
      <c r="O8" t="inlineStr">
        <is>
          <t>GBP</t>
        </is>
      </c>
      <c r="P8" t="inlineStr">
        <is>
          <t>438030541031</t>
        </is>
      </c>
      <c r="Q8" t="n">
        <v>3</v>
      </c>
      <c r="R8" t="n">
        <v>3</v>
      </c>
      <c r="S8">
        <f>IF(Q8="","",MAX(Q8-R8,0))</f>
        <v/>
      </c>
      <c r="T8" s="3">
        <f>IF(Q8="","",MIN(R8/Q8,1))</f>
        <v/>
      </c>
      <c r="U8" t="inlineStr">
        <is>
          <t>Peter Pan; Stitch; Winnie the Pooh</t>
        </is>
      </c>
      <c r="V8" t="inlineStr"/>
      <c r="W8" t="inlineStr">
        <is>
          <t>evidenced</t>
        </is>
      </c>
      <c r="X8" t="inlineStr">
        <is>
          <t>Medium</t>
        </is>
      </c>
      <c r="Y8" t="inlineStr">
        <is>
          <t>https://www.disneystore.co.uk/disney-classics-london-pin-set-438030541031.html</t>
        </is>
      </c>
      <c r="Z8" t="inlineStr">
        <is>
          <t>official</t>
        </is>
      </c>
      <c r="AA8" t="inlineStr"/>
      <c r="AB8" t="n">
        <v>1</v>
      </c>
      <c r="AC8" t="inlineStr"/>
      <c r="AD8" t="inlineStr"/>
      <c r="AE8" t="inlineStr"/>
      <c r="AF8" t="inlineStr"/>
      <c r="AG8" t="inlineStr">
        <is>
          <t>disney-classics-london/pin-set</t>
        </is>
      </c>
    </row>
    <row r="9">
      <c r="A9" t="inlineStr">
        <is>
          <t>PHS-0008</t>
        </is>
      </c>
      <c r="B9" t="inlineStr">
        <is>
          <t>Alice in Wonderland pins (March 2024)</t>
        </is>
      </c>
      <c r="C9" t="inlineStr">
        <is>
          <t>Disneyland Paris</t>
        </is>
      </c>
      <c r="D9" t="inlineStr"/>
      <c r="E9" t="inlineStr">
        <is>
          <t>2024-03-09</t>
        </is>
      </c>
      <c r="F9" t="n">
        <v>2024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</v>
      </c>
      <c r="S9">
        <f>IF(Q9="","",MAX(Q9-R9,0))</f>
        <v/>
      </c>
      <c r="T9" s="3">
        <f>IF(Q9="","",MIN(R9/Q9,1))</f>
        <v/>
      </c>
      <c r="U9" t="inlineStr">
        <is>
          <t>Alice; Cheshire Cat; Mad Hatter; March Hare; White Rabbit</t>
        </is>
      </c>
      <c r="V9" t="inlineStr"/>
      <c r="W9" t="inlineStr">
        <is>
          <t>evidenced</t>
        </is>
      </c>
      <c r="X9" t="inlineStr">
        <is>
          <t>Low</t>
        </is>
      </c>
      <c r="Y9" t="inlineStr">
        <is>
          <t>https://www.laughingplace.com/w/disney-parks/disneyland-paris-march-2024-pin-release-schedule/</t>
        </is>
      </c>
      <c r="Z9" t="inlineStr">
        <is>
          <t>secondary</t>
        </is>
      </c>
      <c r="AA9" t="inlineStr">
        <is>
          <t>https://www.mousesteps.com/2024/02/28/disneyland-paris-march-2024-pin-release-schedule-revealed-including-stitch-and-tinker-bell-pins/</t>
        </is>
      </c>
      <c r="AB9" t="n">
        <v>2</v>
      </c>
      <c r="AC9" t="inlineStr"/>
      <c r="AD9" t="inlineStr"/>
      <c r="AE9" t="inlineStr"/>
      <c r="AF9" t="inlineStr"/>
      <c r="AG9" t="inlineStr">
        <is>
          <t>dlp/2024/alice-in-wonderland-march-2024</t>
        </is>
      </c>
    </row>
    <row r="10">
      <c r="A10" t="inlineStr">
        <is>
          <t>PHS-0009</t>
        </is>
      </c>
      <c r="B10" t="inlineStr">
        <is>
          <t>Tinker Bell and Periwinkle jumbo LE (Symphony of Colours)</t>
        </is>
      </c>
      <c r="C10" t="inlineStr">
        <is>
          <t>Disneyland Paris</t>
        </is>
      </c>
      <c r="D10" t="inlineStr"/>
      <c r="E10" t="inlineStr">
        <is>
          <t>2024-03-23</t>
        </is>
      </c>
      <c r="F10" t="n">
        <v>2024</v>
      </c>
      <c r="G10" t="inlineStr"/>
      <c r="H10" t="inlineStr"/>
      <c r="I10" t="inlineStr">
        <is>
          <t>jumbo</t>
        </is>
      </c>
      <c r="J10" t="inlineStr"/>
      <c r="K10" t="inlineStr"/>
      <c r="L10" t="inlineStr">
        <is>
          <t>limited edition</t>
        </is>
      </c>
      <c r="M10" t="inlineStr"/>
      <c r="N10" t="inlineStr"/>
      <c r="O10" t="inlineStr"/>
      <c r="P10" t="inlineStr"/>
      <c r="Q10" t="inlineStr"/>
      <c r="R10" t="n">
        <v>1</v>
      </c>
      <c r="S10">
        <f>IF(Q10="","",MAX(Q10-R10,0))</f>
        <v/>
      </c>
      <c r="T10" s="3">
        <f>IF(Q10="","",MIN(R10/Q10,1))</f>
        <v/>
      </c>
      <c r="U10" t="inlineStr">
        <is>
          <t>Periwinkle; Tinker Bell</t>
        </is>
      </c>
      <c r="V10" t="inlineStr"/>
      <c r="W10" t="inlineStr">
        <is>
          <t>evidenced</t>
        </is>
      </c>
      <c r="X10" t="inlineStr">
        <is>
          <t>Low</t>
        </is>
      </c>
      <c r="Y10" t="inlineStr">
        <is>
          <t>https://www.laughingplace.com/w/disney-parks/disneyland-paris-march-2024-pin-release-schedule/</t>
        </is>
      </c>
      <c r="Z10" t="inlineStr">
        <is>
          <t>secondary</t>
        </is>
      </c>
      <c r="AA10" t="inlineStr">
        <is>
          <t>https://www.mousesteps.com/2024/02/28/disneyland-paris-march-2024-pin-release-schedule-revealed-including-stitch-and-tinker-bell-pins/</t>
        </is>
      </c>
      <c r="AB10" t="n">
        <v>2</v>
      </c>
      <c r="AC10" t="inlineStr"/>
      <c r="AD10" t="inlineStr"/>
      <c r="AE10" t="inlineStr"/>
      <c r="AF10" t="inlineStr"/>
      <c r="AG10" t="inlineStr">
        <is>
          <t>dlp/2024/tinker-bell-periwinkle-symphony-of-colours-jumbo</t>
        </is>
      </c>
    </row>
    <row r="11">
      <c r="A11" t="inlineStr">
        <is>
          <t>PHS-0010</t>
        </is>
      </c>
      <c r="B11" t="inlineStr">
        <is>
          <t>Flora, Fauna and Merryweather - Disneyland Paris birthday (April 12)</t>
        </is>
      </c>
      <c r="C11" t="inlineStr">
        <is>
          <t>Disneyland Paris</t>
        </is>
      </c>
      <c r="D11" t="inlineStr"/>
      <c r="E11" t="inlineStr">
        <is>
          <t>2024-04-12</t>
        </is>
      </c>
      <c r="F11" t="n">
        <v>2024</v>
      </c>
      <c r="G11" t="inlineStr"/>
      <c r="H11" t="inlineStr"/>
      <c r="I11" t="inlineStr"/>
      <c r="J11" t="inlineStr"/>
      <c r="K11" t="inlineStr"/>
      <c r="L11" t="inlineStr">
        <is>
          <t>limited edition</t>
        </is>
      </c>
      <c r="M11" t="n">
        <v>700</v>
      </c>
      <c r="N11" t="inlineStr"/>
      <c r="O11" t="inlineStr"/>
      <c r="P11" t="inlineStr"/>
      <c r="Q11" t="n">
        <v>3</v>
      </c>
      <c r="R11" t="n">
        <v>3</v>
      </c>
      <c r="S11">
        <f>IF(Q11="","",MAX(Q11-R11,0))</f>
        <v/>
      </c>
      <c r="T11" s="3">
        <f>IF(Q11="","",MIN(R11/Q11,1))</f>
        <v/>
      </c>
      <c r="U11" t="inlineStr">
        <is>
          <t>Fauna; Flora; Merryweather</t>
        </is>
      </c>
      <c r="V11" t="inlineStr"/>
      <c r="W11" t="inlineStr">
        <is>
          <t>evidenced</t>
        </is>
      </c>
      <c r="X11" t="inlineStr">
        <is>
          <t>Low</t>
        </is>
      </c>
      <c r="Y11" t="inlineStr">
        <is>
          <t>https://www.laughingplace.com/w/disney-parks/disneyland-paris-april-2024-pin-release-schedule/</t>
        </is>
      </c>
      <c r="Z11" t="inlineStr">
        <is>
          <t>secondary</t>
        </is>
      </c>
      <c r="AA11" t="inlineStr">
        <is>
          <t>https://www.mousesteps.com/2024/03/27/disneyland-paris-releases-pin-trading-schedule-for-april-2024/</t>
        </is>
      </c>
      <c r="AB11" t="n">
        <v>2</v>
      </c>
      <c r="AC11" t="inlineStr"/>
      <c r="AD11" t="inlineStr"/>
      <c r="AE11" t="inlineStr"/>
      <c r="AF11" t="inlineStr"/>
      <c r="AG11" t="inlineStr">
        <is>
          <t>dlp/2024/dlp-birthday-good-fairies-april-2024</t>
        </is>
      </c>
    </row>
    <row r="12">
      <c r="A12" t="inlineStr">
        <is>
          <t>PHS-0011</t>
        </is>
      </c>
      <c r="B12" t="inlineStr">
        <is>
          <t>Alice in Wonderland 2024 Pin Trading Event pins</t>
        </is>
      </c>
      <c r="C12" t="inlineStr">
        <is>
          <t>Disneyland Paris</t>
        </is>
      </c>
      <c r="D12" t="inlineStr"/>
      <c r="E12" t="inlineStr">
        <is>
          <t>2024-05-25</t>
        </is>
      </c>
      <c r="F12" t="n">
        <v>2024</v>
      </c>
      <c r="G12" t="inlineStr"/>
      <c r="H12" t="inlineStr"/>
      <c r="I12" t="inlineStr">
        <is>
          <t>ticketed pin trading event release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</v>
      </c>
      <c r="S12">
        <f>IF(Q12="","",MAX(Q12-R12,0))</f>
        <v/>
      </c>
      <c r="T12" s="3">
        <f>IF(Q12="","",MIN(R12/Q12,1))</f>
        <v/>
      </c>
      <c r="U12" t="inlineStr">
        <is>
          <t>Alice; Cheshire Cat; Mad Hatter; March Hare; Red Queen</t>
        </is>
      </c>
      <c r="V12" t="inlineStr"/>
      <c r="W12" t="inlineStr">
        <is>
          <t>evidenced (held)</t>
        </is>
      </c>
      <c r="X12" t="inlineStr">
        <is>
          <t>Low</t>
        </is>
      </c>
      <c r="Y12" t="inlineStr">
        <is>
          <t>https://disneypinsblog.com/alice-in-wonderland-2024-pin-trading-event-at-disneyland-paris/</t>
        </is>
      </c>
      <c r="Z12" t="inlineStr">
        <is>
          <t>secondary</t>
        </is>
      </c>
      <c r="AA12" t="inlineStr">
        <is>
          <t>https://www.mousesteps.com/2024/04/22/disneyland-paris-reveals-alice-in-wonderland-pins-for-pin-trading-event-on-may-25th-2024/</t>
        </is>
      </c>
      <c r="AB12" t="n">
        <v>3</v>
      </c>
      <c r="AC12" t="inlineStr"/>
      <c r="AD12" t="inlineStr"/>
      <c r="AE12" t="inlineStr"/>
      <c r="AF12" t="inlineStr"/>
      <c r="AG12" t="inlineStr">
        <is>
          <t>dlp/2024/alice-in-wonderland-pin-trading-event-2024</t>
        </is>
      </c>
    </row>
    <row r="13">
      <c r="A13" t="inlineStr">
        <is>
          <t>PHS-0012</t>
        </is>
      </c>
      <c r="B13" t="inlineStr">
        <is>
          <t>Inside Out 2 pins</t>
        </is>
      </c>
      <c r="C13" t="inlineStr">
        <is>
          <t>Disneyland Paris</t>
        </is>
      </c>
      <c r="D13" t="inlineStr"/>
      <c r="E13" t="inlineStr">
        <is>
          <t>2024-06</t>
        </is>
      </c>
      <c r="F13" t="n">
        <v>2024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4</v>
      </c>
      <c r="R13" t="n">
        <v>4</v>
      </c>
      <c r="S13">
        <f>IF(Q13="","",MAX(Q13-R13,0))</f>
        <v/>
      </c>
      <c r="T13" s="3">
        <f>IF(Q13="","",MIN(R13/Q13,1))</f>
        <v/>
      </c>
      <c r="U13" t="inlineStr">
        <is>
          <t>Anger; Ennui; Disgust; Envy; Fear; Embarrassment; Sadness; Anxiety; Joy</t>
        </is>
      </c>
      <c r="V13" t="inlineStr"/>
      <c r="W13" t="inlineStr">
        <is>
          <t>evidenced</t>
        </is>
      </c>
      <c r="X13" t="inlineStr">
        <is>
          <t>Low</t>
        </is>
      </c>
      <c r="Y13" t="inlineStr">
        <is>
          <t>https://www.mousesteps.com/2024/05/27/disneyland-paris-pins-for-june-2024-revealed-including-disney-pride-and-inside-out-2/</t>
        </is>
      </c>
      <c r="Z13" t="inlineStr">
        <is>
          <t>secondary</t>
        </is>
      </c>
      <c r="AA13" t="inlineStr">
        <is>
          <t>https://x.com/DLPReport/status/1795011556213772440</t>
        </is>
      </c>
      <c r="AB13" t="n">
        <v>2</v>
      </c>
      <c r="AC13" t="inlineStr"/>
      <c r="AD13" t="inlineStr"/>
      <c r="AE13" t="inlineStr"/>
      <c r="AF13" t="inlineStr"/>
      <c r="AG13" t="inlineStr">
        <is>
          <t>dlp/2024/inside-out-2-june-2024</t>
        </is>
      </c>
    </row>
    <row r="14">
      <c r="A14" t="inlineStr">
        <is>
          <t>PHS-0013</t>
        </is>
      </c>
      <c r="B14" t="inlineStr">
        <is>
          <t>Toy Story Aliens pins</t>
        </is>
      </c>
      <c r="C14" t="inlineStr">
        <is>
          <t>Disneyland Paris</t>
        </is>
      </c>
      <c r="D14" t="inlineStr"/>
      <c r="E14" t="inlineStr">
        <is>
          <t>2024-06-08</t>
        </is>
      </c>
      <c r="F14" t="n">
        <v>2024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6</v>
      </c>
      <c r="S14">
        <f>IF(Q14="","",MAX(Q14-R14,0))</f>
        <v/>
      </c>
      <c r="T14" s="3">
        <f>IF(Q14="","",MIN(R14/Q14,1))</f>
        <v/>
      </c>
      <c r="U14" t="inlineStr">
        <is>
          <t>Alien; Buzz Lightyear; Carl Fredricksen; Russell; Edna Mode; Mr. Incredible; Anger; Sadness; Boo; Sulley; Jessie; Woody</t>
        </is>
      </c>
      <c r="V14" t="inlineStr"/>
      <c r="W14" t="inlineStr">
        <is>
          <t>evidenced</t>
        </is>
      </c>
      <c r="X14" t="inlineStr">
        <is>
          <t>Low</t>
        </is>
      </c>
      <c r="Y14" t="inlineStr">
        <is>
          <t>https://www.mousesteps.com/2024/05/27/disneyland-paris-pins-for-june-2024-revealed-including-disney-pride-and-inside-out-2/</t>
        </is>
      </c>
      <c r="Z14" t="inlineStr">
        <is>
          <t>secondary</t>
        </is>
      </c>
      <c r="AA14" t="inlineStr">
        <is>
          <t>https://x.com/DLPReport/status/1795011556213772440</t>
        </is>
      </c>
      <c r="AB14" t="n">
        <v>2</v>
      </c>
      <c r="AC14" t="inlineStr"/>
      <c r="AD14" t="inlineStr"/>
      <c r="AE14" t="inlineStr"/>
      <c r="AF14" t="inlineStr"/>
      <c r="AG14" t="inlineStr">
        <is>
          <t>dlp/2024/toy-story-aliens-june-2024</t>
        </is>
      </c>
    </row>
    <row r="15">
      <c r="A15" t="inlineStr">
        <is>
          <t>PHS-0014</t>
        </is>
      </c>
      <c r="B15" t="inlineStr">
        <is>
          <t>Disney Princess pins (June 2024)</t>
        </is>
      </c>
      <c r="C15" t="inlineStr">
        <is>
          <t>Disneyland Paris</t>
        </is>
      </c>
      <c r="D15" t="inlineStr"/>
      <c r="E15" t="inlineStr">
        <is>
          <t>2024-06-15</t>
        </is>
      </c>
      <c r="F15" t="n">
        <v>2024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5</v>
      </c>
      <c r="S15">
        <f>IF(Q15="","",MAX(Q15-R15,0))</f>
        <v/>
      </c>
      <c r="T15" s="3">
        <f>IF(Q15="","",MIN(R15/Q15,1))</f>
        <v/>
      </c>
      <c r="U15" t="inlineStr">
        <is>
          <t>Aurora; Cinderella; Jasmine; Pocahontas; Snow White</t>
        </is>
      </c>
      <c r="V15" t="inlineStr"/>
      <c r="W15" t="inlineStr">
        <is>
          <t>evidenced</t>
        </is>
      </c>
      <c r="X15" t="inlineStr">
        <is>
          <t>Low</t>
        </is>
      </c>
      <c r="Y15" t="inlineStr">
        <is>
          <t>https://www.mousesteps.com/2024/05/27/disneyland-paris-pins-for-june-2024-revealed-including-disney-pride-and-inside-out-2/</t>
        </is>
      </c>
      <c r="Z15" t="inlineStr">
        <is>
          <t>secondary</t>
        </is>
      </c>
      <c r="AA15" t="inlineStr"/>
      <c r="AB15" t="n">
        <v>1</v>
      </c>
      <c r="AC15" t="inlineStr"/>
      <c r="AD15" t="inlineStr"/>
      <c r="AE15" t="inlineStr"/>
      <c r="AF15" t="inlineStr"/>
      <c r="AG15" t="inlineStr">
        <is>
          <t>dlp/2024/disney-princess-june-2024</t>
        </is>
      </c>
    </row>
    <row r="16">
      <c r="A16" t="inlineStr">
        <is>
          <t>PHS-0015</t>
        </is>
      </c>
      <c r="B16" t="inlineStr">
        <is>
          <t>Father's Day 2024 pin (Judy and Stu Hopps)</t>
        </is>
      </c>
      <c r="C16" t="inlineStr">
        <is>
          <t>Disneyland Paris</t>
        </is>
      </c>
      <c r="D16" t="inlineStr"/>
      <c r="E16" t="inlineStr">
        <is>
          <t>2024-06-16</t>
        </is>
      </c>
      <c r="F16" t="n">
        <v>2024</v>
      </c>
      <c r="G16" t="inlineStr"/>
      <c r="H16" t="inlineStr"/>
      <c r="I16" t="inlineStr"/>
      <c r="J16" t="inlineStr"/>
      <c r="K16" t="inlineStr"/>
      <c r="L16" t="inlineStr">
        <is>
          <t>limited edition</t>
        </is>
      </c>
      <c r="M16" t="n">
        <v>700</v>
      </c>
      <c r="N16" t="inlineStr"/>
      <c r="O16" t="inlineStr"/>
      <c r="P16" t="inlineStr"/>
      <c r="Q16" t="n">
        <v>1</v>
      </c>
      <c r="R16" t="n">
        <v>1</v>
      </c>
      <c r="S16">
        <f>IF(Q16="","",MAX(Q16-R16,0))</f>
        <v/>
      </c>
      <c r="T16" s="3">
        <f>IF(Q16="","",MIN(R16/Q16,1))</f>
        <v/>
      </c>
      <c r="U16" t="inlineStr">
        <is>
          <t>Judy Hopps; Stu Hopps</t>
        </is>
      </c>
      <c r="V16" t="inlineStr"/>
      <c r="W16" t="inlineStr">
        <is>
          <t>evidenced</t>
        </is>
      </c>
      <c r="X16" t="inlineStr">
        <is>
          <t>Low</t>
        </is>
      </c>
      <c r="Y16" t="inlineStr">
        <is>
          <t>https://www.mousesteps.com/2024/05/27/disneyland-paris-pins-for-june-2024-revealed-including-disney-pride-and-inside-out-2/</t>
        </is>
      </c>
      <c r="Z16" t="inlineStr">
        <is>
          <t>secondary</t>
        </is>
      </c>
      <c r="AA16" t="inlineStr"/>
      <c r="AB16" t="n">
        <v>1</v>
      </c>
      <c r="AC16" t="inlineStr"/>
      <c r="AD16" t="inlineStr"/>
      <c r="AE16" t="inlineStr"/>
      <c r="AF16" t="inlineStr"/>
      <c r="AG16" t="inlineStr">
        <is>
          <t>dlp/2024/fathers-day-2024-judy-stu-hopps</t>
        </is>
      </c>
    </row>
    <row r="17">
      <c r="A17" t="inlineStr">
        <is>
          <t>PHS-0016</t>
        </is>
      </c>
      <c r="B17" t="inlineStr">
        <is>
          <t>Tinker Bell and King of Hearts pins (June 22)</t>
        </is>
      </c>
      <c r="C17" t="inlineStr">
        <is>
          <t>Disneyland Paris</t>
        </is>
      </c>
      <c r="D17" t="inlineStr"/>
      <c r="E17" t="inlineStr">
        <is>
          <t>2024-06-22</t>
        </is>
      </c>
      <c r="F17" t="n">
        <v>2024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</v>
      </c>
      <c r="S17">
        <f>IF(Q17="","",MAX(Q17-R17,0))</f>
        <v/>
      </c>
      <c r="T17" s="3">
        <f>IF(Q17="","",MIN(R17/Q17,1))</f>
        <v/>
      </c>
      <c r="U17" t="inlineStr">
        <is>
          <t>King of Hearts; Tinker Bell</t>
        </is>
      </c>
      <c r="V17" t="inlineStr"/>
      <c r="W17" t="inlineStr">
        <is>
          <t>evidenced</t>
        </is>
      </c>
      <c r="X17" t="inlineStr">
        <is>
          <t>Low</t>
        </is>
      </c>
      <c r="Y17" t="inlineStr">
        <is>
          <t>https://www.mousesteps.com/2024/05/27/disneyland-paris-pins-for-june-2024-revealed-including-disney-pride-and-inside-out-2/</t>
        </is>
      </c>
      <c r="Z17" t="inlineStr">
        <is>
          <t>secondary</t>
        </is>
      </c>
      <c r="AA17" t="inlineStr"/>
      <c r="AB17" t="n">
        <v>1</v>
      </c>
      <c r="AC17" t="inlineStr"/>
      <c r="AD17" t="inlineStr"/>
      <c r="AE17" t="inlineStr"/>
      <c r="AF17" t="inlineStr"/>
      <c r="AG17" t="inlineStr">
        <is>
          <t>dlp/2024/tinker-bell-king-of-hearts-june-2024</t>
        </is>
      </c>
    </row>
    <row r="18">
      <c r="A18" t="inlineStr">
        <is>
          <t>PHS-0017</t>
        </is>
      </c>
      <c r="B18" t="inlineStr">
        <is>
          <t>2024 summer sports merchandise - Mickey gold medal pin</t>
        </is>
      </c>
      <c r="C18" t="inlineStr">
        <is>
          <t>Disneyland Paris</t>
        </is>
      </c>
      <c r="D18" t="inlineStr"/>
      <c r="E18" t="inlineStr">
        <is>
          <t>2024-07</t>
        </is>
      </c>
      <c r="F18" t="n">
        <v>2024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1</v>
      </c>
      <c r="S18">
        <f>IF(Q18="","",MAX(Q18-R18,0))</f>
        <v/>
      </c>
      <c r="T18" s="3">
        <f>IF(Q18="","",MIN(R18/Q18,1))</f>
        <v/>
      </c>
      <c r="U18" t="inlineStr">
        <is>
          <t>Mickey Mouse</t>
        </is>
      </c>
      <c r="V18" t="inlineStr"/>
      <c r="W18" t="inlineStr">
        <is>
          <t>evidenced</t>
        </is>
      </c>
      <c r="X18" t="inlineStr">
        <is>
          <t>Low</t>
        </is>
      </c>
      <c r="Y18" t="inlineStr">
        <is>
          <t>https://chipandco.com/summer-olympics-merchandise-disneyland-paris-570975/</t>
        </is>
      </c>
      <c r="Z18" t="inlineStr">
        <is>
          <t>secondary</t>
        </is>
      </c>
      <c r="AA18" t="inlineStr">
        <is>
          <t>https://wdwnt.com/2024/07/2024-summer-olympics-merchandise-disney-paris/</t>
        </is>
      </c>
      <c r="AB18" t="n">
        <v>2</v>
      </c>
      <c r="AC18" t="inlineStr"/>
      <c r="AD18" t="inlineStr"/>
      <c r="AE18" t="inlineStr"/>
      <c r="AF18" t="inlineStr"/>
      <c r="AG18" t="inlineStr">
        <is>
          <t>dlp/2024/summer-games-2024-gold-medal-mickey</t>
        </is>
      </c>
    </row>
    <row r="19">
      <c r="A19" t="inlineStr">
        <is>
          <t>PHS-0018</t>
        </is>
      </c>
      <c r="B19" t="inlineStr">
        <is>
          <t>Ratatouille pins (July 2024)</t>
        </is>
      </c>
      <c r="C19" t="inlineStr">
        <is>
          <t>Disneyland Paris</t>
        </is>
      </c>
      <c r="D19" t="inlineStr"/>
      <c r="E19" t="inlineStr">
        <is>
          <t>2024-07-10</t>
        </is>
      </c>
      <c r="F19" t="n">
        <v>2024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>
        <f>IF(Q19="","",MAX(Q19-R19,0))</f>
        <v/>
      </c>
      <c r="T19" s="3">
        <f>IF(Q19="","",MIN(R19/Q19,1))</f>
        <v/>
      </c>
      <c r="U19" t="inlineStr">
        <is>
          <t>Chez Remy</t>
        </is>
      </c>
      <c r="V19" t="inlineStr"/>
      <c r="W19" t="inlineStr">
        <is>
          <t>evidenced</t>
        </is>
      </c>
      <c r="X19" t="inlineStr">
        <is>
          <t>Low</t>
        </is>
      </c>
      <c r="Y19" t="inlineStr">
        <is>
          <t>https://www.mousesteps.com/2024/06/28/disneyland-paris-pin-release-schedule-for-july-2024-includes-aristocats-ratatouille-pins/</t>
        </is>
      </c>
      <c r="Z19" t="inlineStr">
        <is>
          <t>secondary</t>
        </is>
      </c>
      <c r="AA19" t="inlineStr"/>
      <c r="AB19" t="n">
        <v>1</v>
      </c>
      <c r="AC19" t="inlineStr"/>
      <c r="AD19" t="inlineStr"/>
      <c r="AE19" t="inlineStr"/>
      <c r="AF19" t="inlineStr"/>
      <c r="AG19" t="inlineStr">
        <is>
          <t>dlp/2024/ratatouille-july-2024</t>
        </is>
      </c>
    </row>
    <row r="20">
      <c r="A20" t="inlineStr">
        <is>
          <t>PHS-0019</t>
        </is>
      </c>
      <c r="B20" t="inlineStr">
        <is>
          <t>March Hare LE 700 (July 2024)</t>
        </is>
      </c>
      <c r="C20" t="inlineStr">
        <is>
          <t>Disneyland Paris</t>
        </is>
      </c>
      <c r="D20" t="inlineStr"/>
      <c r="E20" t="inlineStr">
        <is>
          <t>2024-07-20</t>
        </is>
      </c>
      <c r="F20" t="n">
        <v>2024</v>
      </c>
      <c r="G20" t="inlineStr"/>
      <c r="H20" t="inlineStr"/>
      <c r="I20" t="inlineStr"/>
      <c r="J20" t="inlineStr"/>
      <c r="K20" t="inlineStr"/>
      <c r="L20" t="inlineStr">
        <is>
          <t>limited edition</t>
        </is>
      </c>
      <c r="M20" t="n">
        <v>700</v>
      </c>
      <c r="N20" t="inlineStr"/>
      <c r="O20" t="inlineStr"/>
      <c r="P20" t="inlineStr"/>
      <c r="Q20" t="n">
        <v>1</v>
      </c>
      <c r="R20" t="n">
        <v>1</v>
      </c>
      <c r="S20">
        <f>IF(Q20="","",MAX(Q20-R20,0))</f>
        <v/>
      </c>
      <c r="T20" s="3">
        <f>IF(Q20="","",MIN(R20/Q20,1))</f>
        <v/>
      </c>
      <c r="U20" t="inlineStr">
        <is>
          <t>March Hare</t>
        </is>
      </c>
      <c r="V20" t="inlineStr"/>
      <c r="W20" t="inlineStr">
        <is>
          <t>evidenced</t>
        </is>
      </c>
      <c r="X20" t="inlineStr">
        <is>
          <t>Low</t>
        </is>
      </c>
      <c r="Y20" t="inlineStr">
        <is>
          <t>https://www.mousesteps.com/2024/06/28/disneyland-paris-pin-release-schedule-for-july-2024-includes-aristocats-ratatouille-pins/</t>
        </is>
      </c>
      <c r="Z20" t="inlineStr">
        <is>
          <t>secondary</t>
        </is>
      </c>
      <c r="AA20" t="inlineStr"/>
      <c r="AB20" t="n">
        <v>1</v>
      </c>
      <c r="AC20" t="inlineStr"/>
      <c r="AD20" t="inlineStr"/>
      <c r="AE20" t="inlineStr"/>
      <c r="AF20" t="inlineStr"/>
      <c r="AG20" t="inlineStr">
        <is>
          <t>dlp/2024/march-hare-le-700-july-2024</t>
        </is>
      </c>
    </row>
    <row r="21">
      <c r="A21" t="inlineStr">
        <is>
          <t>PHS-0020</t>
        </is>
      </c>
      <c r="B21" t="inlineStr">
        <is>
          <t>Beauty and the Beast pins and lanyard (August 10)</t>
        </is>
      </c>
      <c r="C21" t="inlineStr">
        <is>
          <t>Disneyland Paris</t>
        </is>
      </c>
      <c r="D21" t="inlineStr"/>
      <c r="E21" t="inlineStr">
        <is>
          <t>2024-08-10</t>
        </is>
      </c>
      <c r="F21" t="n">
        <v>2024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4</v>
      </c>
      <c r="R21" t="n">
        <v>4</v>
      </c>
      <c r="S21">
        <f>IF(Q21="","",MAX(Q21-R21,0))</f>
        <v/>
      </c>
      <c r="T21" s="3">
        <f>IF(Q21="","",MIN(R21/Q21,1))</f>
        <v/>
      </c>
      <c r="U21" t="inlineStr">
        <is>
          <t>Belle; Cogsworth; Lumiere; Chip; Mrs. Potts</t>
        </is>
      </c>
      <c r="V21" t="inlineStr"/>
      <c r="W21" t="inlineStr">
        <is>
          <t>evidenced</t>
        </is>
      </c>
      <c r="X21" t="inlineStr">
        <is>
          <t>Low</t>
        </is>
      </c>
      <c r="Y21" t="inlineStr">
        <is>
          <t>https://www.mousesteps.com/2024/07/29/disneyland-paris-august-2024-pins-feature-stitch-beauty-and-the-beast-and-more/</t>
        </is>
      </c>
      <c r="Z21" t="inlineStr">
        <is>
          <t>secondary</t>
        </is>
      </c>
      <c r="AA21" t="inlineStr"/>
      <c r="AB21" t="n">
        <v>1</v>
      </c>
      <c r="AC21" t="inlineStr"/>
      <c r="AD21" t="inlineStr"/>
      <c r="AE21" t="inlineStr"/>
      <c r="AF21" t="inlineStr"/>
      <c r="AG21" t="inlineStr">
        <is>
          <t>dlp/2024/beauty-and-the-beast-august-2024</t>
        </is>
      </c>
    </row>
    <row r="22">
      <c r="A22" t="inlineStr">
        <is>
          <t>PHS-0021</t>
        </is>
      </c>
      <c r="B22" t="inlineStr">
        <is>
          <t>Characters with balloons (August 17)</t>
        </is>
      </c>
      <c r="C22" t="inlineStr">
        <is>
          <t>Disneyland Paris</t>
        </is>
      </c>
      <c r="D22" t="inlineStr"/>
      <c r="E22" t="inlineStr">
        <is>
          <t>2024-08-17</t>
        </is>
      </c>
      <c r="F22" t="n">
        <v>2024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</v>
      </c>
      <c r="S22">
        <f>IF(Q22="","",MAX(Q22-R22,0))</f>
        <v/>
      </c>
      <c r="T22" s="3">
        <f>IF(Q22="","",MIN(R22/Q22,1))</f>
        <v/>
      </c>
      <c r="U22" t="inlineStr">
        <is>
          <t>Chip; Dale; Olaf; Pascal; Stitch</t>
        </is>
      </c>
      <c r="V22" t="inlineStr"/>
      <c r="W22" t="inlineStr">
        <is>
          <t>evidenced</t>
        </is>
      </c>
      <c r="X22" t="inlineStr">
        <is>
          <t>Low</t>
        </is>
      </c>
      <c r="Y22" t="inlineStr">
        <is>
          <t>https://disneypinsblog.com/product/pascal-balloon-series-disneyland-paris-pin/</t>
        </is>
      </c>
      <c r="Z22" t="inlineStr">
        <is>
          <t>secondary</t>
        </is>
      </c>
      <c r="AA22" t="inlineStr">
        <is>
          <t>https://www.mousesteps.com/2024/07/29/disneyland-paris-august-2024-pins-feature-stitch-beauty-and-the-beast-and-more/</t>
        </is>
      </c>
      <c r="AB22" t="n">
        <v>2</v>
      </c>
      <c r="AC22" t="inlineStr"/>
      <c r="AD22" t="inlineStr"/>
      <c r="AE22" t="inlineStr"/>
      <c r="AF22" t="inlineStr"/>
      <c r="AG22" t="inlineStr">
        <is>
          <t>dlp/2024/balloons-august-2024</t>
        </is>
      </c>
    </row>
    <row r="23">
      <c r="A23" t="inlineStr">
        <is>
          <t>PHS-0022</t>
        </is>
      </c>
      <c r="B23" t="inlineStr">
        <is>
          <t>Pin Trading Time August 2024 surprise pins (The Emperor's New Groove)</t>
        </is>
      </c>
      <c r="C23" t="inlineStr">
        <is>
          <t>Disneyland Paris</t>
        </is>
      </c>
      <c r="D23" t="inlineStr"/>
      <c r="E23" t="inlineStr">
        <is>
          <t>2024-08-30</t>
        </is>
      </c>
      <c r="F23" t="n">
        <v>2024</v>
      </c>
      <c r="G23" t="inlineStr"/>
      <c r="H23" t="inlineStr"/>
      <c r="I23" t="inlineStr"/>
      <c r="J23" t="inlineStr"/>
      <c r="K23" t="inlineStr"/>
      <c r="L23" t="inlineStr">
        <is>
          <t>limited edition</t>
        </is>
      </c>
      <c r="M23" t="n">
        <v>400</v>
      </c>
      <c r="N23" t="inlineStr"/>
      <c r="O23" t="inlineStr"/>
      <c r="P23" t="inlineStr"/>
      <c r="Q23" t="inlineStr"/>
      <c r="R23" t="n">
        <v>1</v>
      </c>
      <c r="S23">
        <f>IF(Q23="","",MAX(Q23-R23,0))</f>
        <v/>
      </c>
      <c r="T23" s="3">
        <f>IF(Q23="","",MIN(R23/Q23,1))</f>
        <v/>
      </c>
      <c r="U23" t="inlineStr">
        <is>
          <t>Kuzco</t>
        </is>
      </c>
      <c r="V23" t="inlineStr"/>
      <c r="W23" t="inlineStr">
        <is>
          <t>evidenced</t>
        </is>
      </c>
      <c r="X23" t="inlineStr">
        <is>
          <t>Low</t>
        </is>
      </c>
      <c r="Y23" t="inlineStr">
        <is>
          <t>https://disneypinsblog.com/blogs/news/disneyland-paris-august-2024-pin-releases</t>
        </is>
      </c>
      <c r="Z23" t="inlineStr">
        <is>
          <t>secondary</t>
        </is>
      </c>
      <c r="AA23" t="inlineStr">
        <is>
          <t>https://disneypinsblog.com/blogs/news/disneyland-paris-august-2024-pin-trading-time-event-pin-releases</t>
        </is>
      </c>
      <c r="AB23" t="n">
        <v>3</v>
      </c>
      <c r="AC23" t="inlineStr"/>
      <c r="AD23" t="inlineStr"/>
      <c r="AE23" t="inlineStr"/>
      <c r="AF23" t="inlineStr"/>
      <c r="AG23" t="inlineStr">
        <is>
          <t>dlp/2024/pin-trading-time-august-2024-emperors-new-groove</t>
        </is>
      </c>
    </row>
    <row r="24">
      <c r="A24" t="inlineStr">
        <is>
          <t>PHS-0023</t>
        </is>
      </c>
      <c r="B24" t="inlineStr">
        <is>
          <t>Pin Trading Time August 2024 refresher pin (Miguel)</t>
        </is>
      </c>
      <c r="C24" t="inlineStr">
        <is>
          <t>Disneyland Paris</t>
        </is>
      </c>
      <c r="D24" t="inlineStr"/>
      <c r="E24" t="inlineStr">
        <is>
          <t>2024-08-30</t>
        </is>
      </c>
      <c r="F24" t="n">
        <v>2024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n">
        <v>1</v>
      </c>
      <c r="S24">
        <f>IF(Q24="","",MAX(Q24-R24,0))</f>
        <v/>
      </c>
      <c r="T24" s="3">
        <f>IF(Q24="","",MIN(R24/Q24,1))</f>
        <v/>
      </c>
      <c r="U24" t="inlineStr">
        <is>
          <t>Miguel</t>
        </is>
      </c>
      <c r="V24" t="inlineStr"/>
      <c r="W24" t="inlineStr">
        <is>
          <t>evidenced</t>
        </is>
      </c>
      <c r="X24" t="inlineStr">
        <is>
          <t>Low</t>
        </is>
      </c>
      <c r="Y24" t="inlineStr">
        <is>
          <t>https://disneypinsblog.com/blogs/news/disneyland-paris-august-2024-pin-trading-time-event-pin-releases</t>
        </is>
      </c>
      <c r="Z24" t="inlineStr">
        <is>
          <t>secondary</t>
        </is>
      </c>
      <c r="AA24" t="inlineStr"/>
      <c r="AB24" t="n">
        <v>1</v>
      </c>
      <c r="AC24" t="inlineStr"/>
      <c r="AD24" t="inlineStr"/>
      <c r="AE24" t="inlineStr"/>
      <c r="AF24" t="inlineStr"/>
      <c r="AG24" t="inlineStr">
        <is>
          <t>dlp/2024/pin-trading-time-august-2024-miguel-refresher</t>
        </is>
      </c>
    </row>
    <row r="25">
      <c r="A25" t="inlineStr">
        <is>
          <t>PHS-0024</t>
        </is>
      </c>
      <c r="B25" t="inlineStr">
        <is>
          <t>Halloween 2024 pins (Disneyland Paris)</t>
        </is>
      </c>
      <c r="C25" t="inlineStr">
        <is>
          <t>Disneyland Paris</t>
        </is>
      </c>
      <c r="D25" t="inlineStr"/>
      <c r="E25" t="inlineStr">
        <is>
          <t>2024-09</t>
        </is>
      </c>
      <c r="F25" t="n">
        <v>2024</v>
      </c>
      <c r="G25" t="inlineStr"/>
      <c r="H25" t="inlineStr"/>
      <c r="I25" t="inlineStr"/>
      <c r="J25" t="inlineStr"/>
      <c r="K25" t="inlineStr"/>
      <c r="L25" t="inlineStr">
        <is>
          <t>limited edition</t>
        </is>
      </c>
      <c r="M25" t="inlineStr"/>
      <c r="N25" t="inlineStr"/>
      <c r="O25" t="inlineStr"/>
      <c r="P25" t="inlineStr"/>
      <c r="Q25" t="inlineStr"/>
      <c r="R25" t="n">
        <v>5</v>
      </c>
      <c r="S25">
        <f>IF(Q25="","",MAX(Q25-R25,0))</f>
        <v/>
      </c>
      <c r="T25" s="3">
        <f>IF(Q25="","",MIN(R25/Q25,1))</f>
        <v/>
      </c>
      <c r="U25" t="inlineStr">
        <is>
          <t>Chip; Dale; Lucifer; Mickey Mouse; Pascal; Stitch</t>
        </is>
      </c>
      <c r="V25" t="inlineStr"/>
      <c r="W25" t="inlineStr">
        <is>
          <t>evidenced</t>
        </is>
      </c>
      <c r="X25" t="inlineStr">
        <is>
          <t>Low</t>
        </is>
      </c>
      <c r="Y25" t="inlineStr">
        <is>
          <t>https://disneypinsblog.com/disneyland-paris-october-2024-pin-releases/</t>
        </is>
      </c>
      <c r="Z25" t="inlineStr">
        <is>
          <t>secondary</t>
        </is>
      </c>
      <c r="AA25" t="inlineStr">
        <is>
          <t>https://medium.com/@kevin_24111/disneyland-paris-september-2024-pin-release-preview-sheet-schedule-1139688c519e</t>
        </is>
      </c>
      <c r="AB25" t="n">
        <v>3</v>
      </c>
      <c r="AC25" t="inlineStr"/>
      <c r="AD25" t="inlineStr"/>
      <c r="AE25" t="inlineStr"/>
      <c r="AF25" t="inlineStr"/>
      <c r="AG25" t="inlineStr">
        <is>
          <t>dlp/2024/halloween-2024</t>
        </is>
      </c>
    </row>
    <row r="26">
      <c r="A26" t="inlineStr">
        <is>
          <t>PHS-0025</t>
        </is>
      </c>
      <c r="B26" t="inlineStr">
        <is>
          <t>LE 700 Mickey; Minnie with Daisy (September 14)</t>
        </is>
      </c>
      <c r="C26" t="inlineStr">
        <is>
          <t>Disneyland Paris</t>
        </is>
      </c>
      <c r="D26" t="inlineStr"/>
      <c r="E26" t="inlineStr">
        <is>
          <t>2024-09-14</t>
        </is>
      </c>
      <c r="F26" t="n">
        <v>2024</v>
      </c>
      <c r="G26" t="inlineStr"/>
      <c r="H26" t="inlineStr"/>
      <c r="I26" t="inlineStr"/>
      <c r="J26" t="inlineStr"/>
      <c r="K26" t="inlineStr"/>
      <c r="L26" t="inlineStr">
        <is>
          <t>limited edition</t>
        </is>
      </c>
      <c r="M26" t="n">
        <v>700</v>
      </c>
      <c r="N26" t="inlineStr"/>
      <c r="O26" t="inlineStr"/>
      <c r="P26" t="inlineStr"/>
      <c r="Q26" t="inlineStr"/>
      <c r="R26" t="n">
        <v>2</v>
      </c>
      <c r="S26">
        <f>IF(Q26="","",MAX(Q26-R26,0))</f>
        <v/>
      </c>
      <c r="T26" s="3">
        <f>IF(Q26="","",MIN(R26/Q26,1))</f>
        <v/>
      </c>
      <c r="U26" t="inlineStr">
        <is>
          <t>Mickey Mouse; Daisy Duck; Minnie Mouse</t>
        </is>
      </c>
      <c r="V26" t="inlineStr"/>
      <c r="W26" t="inlineStr">
        <is>
          <t>evidenced (held)</t>
        </is>
      </c>
      <c r="X26" t="inlineStr">
        <is>
          <t>Low</t>
        </is>
      </c>
      <c r="Y26" t="inlineStr">
        <is>
          <t>https://www.mousesteps.com/2024/08/29/disneyland-paris-pin-release-schedule-for-september-2024-revealed/</t>
        </is>
      </c>
      <c r="Z26" t="inlineStr">
        <is>
          <t>secondary</t>
        </is>
      </c>
      <c r="AA26" t="inlineStr"/>
      <c r="AB26" t="n">
        <v>1</v>
      </c>
      <c r="AC26" t="inlineStr"/>
      <c r="AD26" t="inlineStr"/>
      <c r="AE26" t="inlineStr"/>
      <c r="AF26" t="inlineStr"/>
      <c r="AG26" t="inlineStr">
        <is>
          <t>dlp/2024/le-700-mickey-minnie-daisy-september-2024</t>
        </is>
      </c>
    </row>
    <row r="27">
      <c r="A27" t="inlineStr">
        <is>
          <t>PHS-0026</t>
        </is>
      </c>
      <c r="B27" t="inlineStr">
        <is>
          <t>Tinker Bell Autumn LE 700</t>
        </is>
      </c>
      <c r="C27" t="inlineStr">
        <is>
          <t>Disneyland Paris</t>
        </is>
      </c>
      <c r="D27" t="inlineStr"/>
      <c r="E27" t="inlineStr">
        <is>
          <t>2024-09-21</t>
        </is>
      </c>
      <c r="F27" t="n">
        <v>2024</v>
      </c>
      <c r="G27" t="inlineStr"/>
      <c r="H27" t="inlineStr"/>
      <c r="I27" t="inlineStr"/>
      <c r="J27" t="inlineStr"/>
      <c r="K27" t="inlineStr"/>
      <c r="L27" t="inlineStr">
        <is>
          <t>limited edition</t>
        </is>
      </c>
      <c r="M27" t="n">
        <v>700</v>
      </c>
      <c r="N27" t="inlineStr"/>
      <c r="O27" t="inlineStr"/>
      <c r="P27" t="inlineStr"/>
      <c r="Q27" t="n">
        <v>1</v>
      </c>
      <c r="R27" t="n">
        <v>1</v>
      </c>
      <c r="S27">
        <f>IF(Q27="","",MAX(Q27-R27,0))</f>
        <v/>
      </c>
      <c r="T27" s="3">
        <f>IF(Q27="","",MIN(R27/Q27,1))</f>
        <v/>
      </c>
      <c r="U27" t="inlineStr">
        <is>
          <t>Tinker Bell</t>
        </is>
      </c>
      <c r="V27" t="inlineStr"/>
      <c r="W27" t="inlineStr">
        <is>
          <t>evidenced</t>
        </is>
      </c>
      <c r="X27" t="inlineStr">
        <is>
          <t>Low</t>
        </is>
      </c>
      <c r="Y27" t="inlineStr">
        <is>
          <t>https://medium.com/@disney_mouseketeer/disneyland-paris-september-2024-pin-release-preview-sheet-schedule-1139688c519e</t>
        </is>
      </c>
      <c r="Z27" t="inlineStr">
        <is>
          <t>secondary</t>
        </is>
      </c>
      <c r="AA27" t="inlineStr">
        <is>
          <t>https://medium.com/@kevin_24111/disneyland-paris-september-2024-pin-release-preview-sheet-schedule-1139688c519e</t>
        </is>
      </c>
      <c r="AB27" t="n">
        <v>2</v>
      </c>
      <c r="AC27" t="inlineStr"/>
      <c r="AD27" t="inlineStr"/>
      <c r="AE27" t="inlineStr"/>
      <c r="AF27" t="inlineStr"/>
      <c r="AG27" t="inlineStr">
        <is>
          <t>dlp/2024/tinker-bell-autumn-le-700</t>
        </is>
      </c>
    </row>
    <row r="28">
      <c r="A28" t="inlineStr">
        <is>
          <t>PHS-0027</t>
        </is>
      </c>
      <c r="B28" t="inlineStr">
        <is>
          <t>Gaston and Belle LE (November 2)</t>
        </is>
      </c>
      <c r="C28" t="inlineStr">
        <is>
          <t>Disneyland Paris</t>
        </is>
      </c>
      <c r="D28" t="inlineStr"/>
      <c r="E28" t="inlineStr">
        <is>
          <t>2024-11-02</t>
        </is>
      </c>
      <c r="F28" t="n">
        <v>2024</v>
      </c>
      <c r="G28" t="inlineStr"/>
      <c r="H28" t="inlineStr"/>
      <c r="I28" t="inlineStr"/>
      <c r="J28" t="inlineStr"/>
      <c r="K28" t="inlineStr"/>
      <c r="L28" t="inlineStr">
        <is>
          <t>limited edition</t>
        </is>
      </c>
      <c r="M28" t="inlineStr"/>
      <c r="N28" t="inlineStr"/>
      <c r="O28" t="inlineStr"/>
      <c r="P28" t="inlineStr"/>
      <c r="Q28" t="inlineStr"/>
      <c r="R28" t="n">
        <v>1</v>
      </c>
      <c r="S28">
        <f>IF(Q28="","",MAX(Q28-R28,0))</f>
        <v/>
      </c>
      <c r="T28" s="3">
        <f>IF(Q28="","",MIN(R28/Q28,1))</f>
        <v/>
      </c>
      <c r="U28" t="inlineStr">
        <is>
          <t>Belle; Gaston</t>
        </is>
      </c>
      <c r="V28" t="inlineStr"/>
      <c r="W28" t="inlineStr">
        <is>
          <t>evidenced</t>
        </is>
      </c>
      <c r="X28" t="inlineStr">
        <is>
          <t>Low</t>
        </is>
      </c>
      <c r="Y28" t="inlineStr">
        <is>
          <t>https://disneypinsblog.com/disneyland-paris-november-2024-pin-releases/</t>
        </is>
      </c>
      <c r="Z28" t="inlineStr">
        <is>
          <t>secondary</t>
        </is>
      </c>
      <c r="AA28" t="inlineStr">
        <is>
          <t>https://www.mousesteps.com/2024/10/30/disneyland-paris-november-2024-pin-release-schedule-revealed/</t>
        </is>
      </c>
      <c r="AB28" t="n">
        <v>2</v>
      </c>
      <c r="AC28" t="inlineStr"/>
      <c r="AD28" t="inlineStr"/>
      <c r="AE28" t="inlineStr"/>
      <c r="AF28" t="inlineStr"/>
      <c r="AG28" t="inlineStr">
        <is>
          <t>dlp/2024/gaston-and-belle-le-november-2024</t>
        </is>
      </c>
    </row>
    <row r="29">
      <c r="A29" t="inlineStr">
        <is>
          <t>PHS-0028</t>
        </is>
      </c>
      <c r="B29" t="inlineStr">
        <is>
          <t>The Aristocats open edition pins (November 16)</t>
        </is>
      </c>
      <c r="C29" t="inlineStr">
        <is>
          <t>Disneyland Paris</t>
        </is>
      </c>
      <c r="D29" t="inlineStr"/>
      <c r="E29" t="inlineStr">
        <is>
          <t>2024-11-16</t>
        </is>
      </c>
      <c r="F29" t="n">
        <v>2024</v>
      </c>
      <c r="G29" t="inlineStr"/>
      <c r="H29" t="inlineStr"/>
      <c r="I29" t="inlineStr"/>
      <c r="J29" t="inlineStr"/>
      <c r="K29" t="inlineStr"/>
      <c r="L29" t="inlineStr">
        <is>
          <t>open edition</t>
        </is>
      </c>
      <c r="M29" t="inlineStr"/>
      <c r="N29" t="inlineStr"/>
      <c r="O29" t="inlineStr"/>
      <c r="P29" t="inlineStr"/>
      <c r="Q29" t="inlineStr"/>
      <c r="R29" t="n">
        <v>4</v>
      </c>
      <c r="S29">
        <f>IF(Q29="","",MAX(Q29-R29,0))</f>
        <v/>
      </c>
      <c r="T29" s="3">
        <f>IF(Q29="","",MIN(R29/Q29,1))</f>
        <v/>
      </c>
      <c r="U29" t="inlineStr">
        <is>
          <t>Berlioz; Toulouse; Duchess; Marie; Thomas O'Malley</t>
        </is>
      </c>
      <c r="V29" t="inlineStr"/>
      <c r="W29" t="inlineStr">
        <is>
          <t>evidenced</t>
        </is>
      </c>
      <c r="X29" t="inlineStr">
        <is>
          <t>Low</t>
        </is>
      </c>
      <c r="Y29" t="inlineStr">
        <is>
          <t>http://pixiedustdlp.com/2024/11/04/disneyland-paris-pin-trading-november-2024/</t>
        </is>
      </c>
      <c r="Z29" t="inlineStr">
        <is>
          <t>secondary</t>
        </is>
      </c>
      <c r="AA29" t="inlineStr">
        <is>
          <t>https://www.mousesteps.com/2024/10/30/disneyland-paris-november-2024-pin-release-schedule-revealed/</t>
        </is>
      </c>
      <c r="AB29" t="n">
        <v>2</v>
      </c>
      <c r="AC29" t="inlineStr"/>
      <c r="AD29" t="inlineStr"/>
      <c r="AE29" t="inlineStr"/>
      <c r="AF29" t="inlineStr"/>
      <c r="AG29" t="inlineStr">
        <is>
          <t>dlp/2024/aristocats-oe-november-2024</t>
        </is>
      </c>
    </row>
    <row r="30">
      <c r="A30" t="inlineStr">
        <is>
          <t>PHS-0029</t>
        </is>
      </c>
      <c r="B30" t="inlineStr">
        <is>
          <t>Happy Birthday cake pins (Mickey, Minnie, Donald, Daisy, Chip &amp; Dale)</t>
        </is>
      </c>
      <c r="C30" t="inlineStr">
        <is>
          <t>Disneyland Paris</t>
        </is>
      </c>
      <c r="D30" t="inlineStr"/>
      <c r="E30" t="inlineStr">
        <is>
          <t>2024-11-16</t>
        </is>
      </c>
      <c r="F30" t="n">
        <v>2024</v>
      </c>
      <c r="G30" t="inlineStr"/>
      <c r="H30" t="inlineStr"/>
      <c r="I30" t="inlineStr"/>
      <c r="J30" t="inlineStr"/>
      <c r="K30" t="inlineStr"/>
      <c r="L30" t="inlineStr">
        <is>
          <t>limited edition</t>
        </is>
      </c>
      <c r="M30" t="n">
        <v>700</v>
      </c>
      <c r="N30" t="n">
        <v>18</v>
      </c>
      <c r="O30" t="inlineStr">
        <is>
          <t>EUR</t>
        </is>
      </c>
      <c r="P30" t="inlineStr"/>
      <c r="Q30" t="n">
        <v>5</v>
      </c>
      <c r="R30" t="n">
        <v>5</v>
      </c>
      <c r="S30">
        <f>IF(Q30="","",MAX(Q30-R30,0))</f>
        <v/>
      </c>
      <c r="T30" s="3">
        <f>IF(Q30="","",MIN(R30/Q30,1))</f>
        <v/>
      </c>
      <c r="U30" t="inlineStr">
        <is>
          <t>Chip; Dale; Daisy Duck; Donald Duck; Mickey Mouse; Minnie Mouse</t>
        </is>
      </c>
      <c r="V30" t="inlineStr"/>
      <c r="W30" t="inlineStr">
        <is>
          <t>evidenced</t>
        </is>
      </c>
      <c r="X30" t="inlineStr">
        <is>
          <t>Low</t>
        </is>
      </c>
      <c r="Y30" t="inlineStr">
        <is>
          <t>http://pixiedustdlp.com/2024/11/04/disneyland-paris-pin-trading-november-2024/</t>
        </is>
      </c>
      <c r="Z30" t="inlineStr">
        <is>
          <t>secondary</t>
        </is>
      </c>
      <c r="AA30" t="inlineStr">
        <is>
          <t>https://disneypinsblog.com/disneyland-paris-november-2024-pin-releases/</t>
        </is>
      </c>
      <c r="AB30" t="n">
        <v>4</v>
      </c>
      <c r="AC30" t="inlineStr"/>
      <c r="AD30" t="inlineStr"/>
      <c r="AE30" t="inlineStr"/>
      <c r="AF30" t="inlineStr"/>
      <c r="AG30" t="inlineStr">
        <is>
          <t>dlp/2024/happy-birthday-cakes-le-700</t>
        </is>
      </c>
    </row>
    <row r="31">
      <c r="A31" t="inlineStr">
        <is>
          <t>PHS-0030</t>
        </is>
      </c>
      <c r="B31" t="inlineStr">
        <is>
          <t>Ariel and Eric LE (November 23)</t>
        </is>
      </c>
      <c r="C31" t="inlineStr">
        <is>
          <t>Disneyland Paris</t>
        </is>
      </c>
      <c r="D31" t="inlineStr"/>
      <c r="E31" t="inlineStr">
        <is>
          <t>2024-11-23</t>
        </is>
      </c>
      <c r="F31" t="n">
        <v>2024</v>
      </c>
      <c r="G31" t="inlineStr"/>
      <c r="H31" t="inlineStr"/>
      <c r="I31" t="inlineStr"/>
      <c r="J31" t="inlineStr"/>
      <c r="K31" t="inlineStr"/>
      <c r="L31" t="inlineStr">
        <is>
          <t>limited edition</t>
        </is>
      </c>
      <c r="M31" t="inlineStr"/>
      <c r="N31" t="inlineStr"/>
      <c r="O31" t="inlineStr"/>
      <c r="P31" t="inlineStr"/>
      <c r="Q31" t="n">
        <v>1</v>
      </c>
      <c r="R31" t="n">
        <v>1</v>
      </c>
      <c r="S31">
        <f>IF(Q31="","",MAX(Q31-R31,0))</f>
        <v/>
      </c>
      <c r="T31" s="3">
        <f>IF(Q31="","",MIN(R31/Q31,1))</f>
        <v/>
      </c>
      <c r="U31" t="inlineStr">
        <is>
          <t>Ariel; Eric; Prince Eric</t>
        </is>
      </c>
      <c r="V31" t="inlineStr"/>
      <c r="W31" t="inlineStr">
        <is>
          <t>evidenced</t>
        </is>
      </c>
      <c r="X31" t="inlineStr">
        <is>
          <t>Low</t>
        </is>
      </c>
      <c r="Y31" t="inlineStr">
        <is>
          <t>http://pixiedustdlp.com/2024/11/04/disneyland-paris-pin-trading-november-2024/</t>
        </is>
      </c>
      <c r="Z31" t="inlineStr">
        <is>
          <t>secondary</t>
        </is>
      </c>
      <c r="AA31" t="inlineStr">
        <is>
          <t>https://www.mousesteps.com/2024/10/30/disneyland-paris-november-2024-pin-release-schedule-revealed/</t>
        </is>
      </c>
      <c r="AB31" t="n">
        <v>2</v>
      </c>
      <c r="AC31" t="inlineStr"/>
      <c r="AD31" t="inlineStr"/>
      <c r="AE31" t="inlineStr"/>
      <c r="AF31" t="inlineStr"/>
      <c r="AG31" t="inlineStr">
        <is>
          <t>dlp/2024/ariel-and-eric-le-november-2024</t>
        </is>
      </c>
    </row>
    <row r="32">
      <c r="A32" t="inlineStr">
        <is>
          <t>PHS-0031</t>
        </is>
      </c>
      <c r="B32" t="inlineStr">
        <is>
          <t>Christmas 2024 Winnie the Pooh open edition pins</t>
        </is>
      </c>
      <c r="C32" t="inlineStr">
        <is>
          <t>Disneyland Paris</t>
        </is>
      </c>
      <c r="D32" t="inlineStr"/>
      <c r="E32" t="inlineStr">
        <is>
          <t>2024-11-23</t>
        </is>
      </c>
      <c r="F32" t="n">
        <v>2024</v>
      </c>
      <c r="G32" t="inlineStr"/>
      <c r="H32" t="inlineStr"/>
      <c r="I32" t="inlineStr"/>
      <c r="J32" t="inlineStr"/>
      <c r="K32" t="inlineStr"/>
      <c r="L32" t="inlineStr">
        <is>
          <t>open edition</t>
        </is>
      </c>
      <c r="M32" t="inlineStr"/>
      <c r="N32" t="inlineStr"/>
      <c r="O32" t="inlineStr"/>
      <c r="P32" t="inlineStr"/>
      <c r="Q32" t="n">
        <v>4</v>
      </c>
      <c r="R32" t="n">
        <v>4</v>
      </c>
      <c r="S32">
        <f>IF(Q32="","",MAX(Q32-R32,0))</f>
        <v/>
      </c>
      <c r="T32" s="3">
        <f>IF(Q32="","",MIN(R32/Q32,1))</f>
        <v/>
      </c>
      <c r="U32" t="inlineStr">
        <is>
          <t>Eeyore; Winnie the Pooh; Piglet; Tigger</t>
        </is>
      </c>
      <c r="V32" t="inlineStr"/>
      <c r="W32" t="inlineStr">
        <is>
          <t>evidenced</t>
        </is>
      </c>
      <c r="X32" t="inlineStr">
        <is>
          <t>Low</t>
        </is>
      </c>
      <c r="Y32" t="inlineStr">
        <is>
          <t>http://pixiedustdlp.com/2024/11/04/disneyland-paris-pin-trading-november-2024/</t>
        </is>
      </c>
      <c r="Z32" t="inlineStr">
        <is>
          <t>secondary</t>
        </is>
      </c>
      <c r="AA32" t="inlineStr">
        <is>
          <t>https://www.mousesteps.com/2024/10/30/disneyland-paris-november-2024-pin-release-schedule-revealed/</t>
        </is>
      </c>
      <c r="AB32" t="n">
        <v>2</v>
      </c>
      <c r="AC32" t="inlineStr"/>
      <c r="AD32" t="inlineStr"/>
      <c r="AE32" t="inlineStr"/>
      <c r="AF32" t="inlineStr"/>
      <c r="AG32" t="inlineStr">
        <is>
          <t>dlp/2024/christmas-2024-pooh-oe</t>
        </is>
      </c>
    </row>
    <row r="33">
      <c r="A33" t="inlineStr">
        <is>
          <t>PHS-0032</t>
        </is>
      </c>
      <c r="B33" t="inlineStr">
        <is>
          <t>Mother Gothel limited edition pin</t>
        </is>
      </c>
      <c r="C33" t="inlineStr">
        <is>
          <t>Disneyland Paris</t>
        </is>
      </c>
      <c r="D33" t="inlineStr"/>
      <c r="E33" t="inlineStr">
        <is>
          <t>2025-01-08</t>
        </is>
      </c>
      <c r="F33" t="n">
        <v>2025</v>
      </c>
      <c r="G33" t="inlineStr"/>
      <c r="H33" t="inlineStr"/>
      <c r="I33" t="inlineStr"/>
      <c r="J33" t="inlineStr"/>
      <c r="K33" t="inlineStr"/>
      <c r="L33" t="inlineStr">
        <is>
          <t>limited edition</t>
        </is>
      </c>
      <c r="M33" t="n">
        <v>700</v>
      </c>
      <c r="N33" t="inlineStr"/>
      <c r="O33" t="inlineStr"/>
      <c r="P33" t="inlineStr"/>
      <c r="Q33" t="n">
        <v>1</v>
      </c>
      <c r="R33" t="n">
        <v>1</v>
      </c>
      <c r="S33">
        <f>IF(Q33="","",MAX(Q33-R33,0))</f>
        <v/>
      </c>
      <c r="T33" s="3">
        <f>IF(Q33="","",MIN(R33/Q33,1))</f>
        <v/>
      </c>
      <c r="U33" t="inlineStr">
        <is>
          <t>Mother Gothel; Rapunzel</t>
        </is>
      </c>
      <c r="V33" t="inlineStr"/>
      <c r="W33" t="inlineStr">
        <is>
          <t>evidenced</t>
        </is>
      </c>
      <c r="X33" t="inlineStr">
        <is>
          <t>Low</t>
        </is>
      </c>
      <c r="Y33" t="inlineStr">
        <is>
          <t>http://pixiedustdlp.com/2024/12/28/disneyland-paris-pin-trading-january-2025/</t>
        </is>
      </c>
      <c r="Z33" t="inlineStr">
        <is>
          <t>secondary</t>
        </is>
      </c>
      <c r="AA33" t="inlineStr">
        <is>
          <t>https://disneypinsblog.com/disneyland-paris-january-2025-pin-releases/</t>
        </is>
      </c>
      <c r="AB33" t="n">
        <v>3</v>
      </c>
      <c r="AC33" t="inlineStr"/>
      <c r="AD33" t="inlineStr"/>
      <c r="AE33" t="inlineStr"/>
      <c r="AF33" t="inlineStr"/>
      <c r="AG33" t="inlineStr">
        <is>
          <t>dlp/2025/mother-gothel-le-700</t>
        </is>
      </c>
    </row>
    <row r="34">
      <c r="A34" t="inlineStr">
        <is>
          <t>PHS-0033</t>
        </is>
      </c>
      <c r="B34" t="inlineStr">
        <is>
          <t>Pièces Jaunes Mickey pin (2025)</t>
        </is>
      </c>
      <c r="C34" t="inlineStr">
        <is>
          <t>Disneyland Paris</t>
        </is>
      </c>
      <c r="D34" t="inlineStr"/>
      <c r="E34" t="inlineStr">
        <is>
          <t>2025-01-08</t>
        </is>
      </c>
      <c r="F34" t="n">
        <v>2025</v>
      </c>
      <c r="G34" t="inlineStr"/>
      <c r="H34" t="inlineStr"/>
      <c r="I34" t="inlineStr">
        <is>
          <t>charity collection single pin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</v>
      </c>
      <c r="S34">
        <f>IF(Q34="","",MAX(Q34-R34,0))</f>
        <v/>
      </c>
      <c r="T34" s="3">
        <f>IF(Q34="","",MIN(R34/Q34,1))</f>
        <v/>
      </c>
      <c r="U34" t="inlineStr">
        <is>
          <t>Mickey Mouse</t>
        </is>
      </c>
      <c r="V34" t="inlineStr"/>
      <c r="W34" t="inlineStr">
        <is>
          <t>evidenced</t>
        </is>
      </c>
      <c r="X34" t="inlineStr">
        <is>
          <t>Low</t>
        </is>
      </c>
      <c r="Y34" t="inlineStr">
        <is>
          <t>https://www.laughingplace.com/w/disney-merchandise/disneyland-paris-reveals-new-pieces-jaunes-collection/</t>
        </is>
      </c>
      <c r="Z34" t="inlineStr">
        <is>
          <t>secondary</t>
        </is>
      </c>
      <c r="AA34" t="inlineStr">
        <is>
          <t>https://www.mousesteps.com/2024/12/27/disneyland-paris-january-2025-pins-revealed/</t>
        </is>
      </c>
      <c r="AB34" t="n">
        <v>2</v>
      </c>
      <c r="AC34" t="inlineStr"/>
      <c r="AD34" t="inlineStr"/>
      <c r="AE34" t="inlineStr"/>
      <c r="AF34" t="inlineStr"/>
      <c r="AG34" t="inlineStr">
        <is>
          <t>dlp/2025/pieces-jaunes-mickey-2025</t>
        </is>
      </c>
    </row>
    <row r="35">
      <c r="A35" t="inlineStr">
        <is>
          <t>PHS-0034</t>
        </is>
      </c>
      <c r="B35" t="inlineStr">
        <is>
          <t>Mickey &amp; Friends skiing pins</t>
        </is>
      </c>
      <c r="C35" t="inlineStr">
        <is>
          <t>Disneyland Paris</t>
        </is>
      </c>
      <c r="D35" t="inlineStr"/>
      <c r="E35" t="inlineStr">
        <is>
          <t>2025-01-11</t>
        </is>
      </c>
      <c r="F35" t="n">
        <v>2025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7</v>
      </c>
      <c r="S35">
        <f>IF(Q35="","",MAX(Q35-R35,0))</f>
        <v/>
      </c>
      <c r="T35" s="3">
        <f>IF(Q35="","",MIN(R35/Q35,1))</f>
        <v/>
      </c>
      <c r="U35" t="inlineStr">
        <is>
          <t>Chip 'n Dale; Daisy Duck; Donald Duck; Goofy; Mickey Mouse; Minnie Mouse; Pluto</t>
        </is>
      </c>
      <c r="V35" t="inlineStr"/>
      <c r="W35" t="inlineStr">
        <is>
          <t>evidenced</t>
        </is>
      </c>
      <c r="X35" t="inlineStr">
        <is>
          <t>Low</t>
        </is>
      </c>
      <c r="Y35" t="inlineStr">
        <is>
          <t>http://pixiedustdlp.com/2024/12/28/disneyland-paris-pin-trading-january-2025/</t>
        </is>
      </c>
      <c r="Z35" t="inlineStr">
        <is>
          <t>secondary</t>
        </is>
      </c>
      <c r="AA35" t="inlineStr">
        <is>
          <t>https://disneypinsblog.com/disneyland-paris-january-2025-pin-releases/</t>
        </is>
      </c>
      <c r="AB35" t="n">
        <v>4</v>
      </c>
      <c r="AC35" t="inlineStr"/>
      <c r="AD35" t="inlineStr"/>
      <c r="AE35" t="inlineStr"/>
      <c r="AF35" t="inlineStr"/>
      <c r="AG35" t="inlineStr">
        <is>
          <t>dlp/2025/mickey-friends-skiing</t>
        </is>
      </c>
    </row>
    <row r="36">
      <c r="A36" t="inlineStr">
        <is>
          <t>PHS-0035</t>
        </is>
      </c>
      <c r="B36" t="inlineStr">
        <is>
          <t>Henry Ravenswood jumbo limited edition pin</t>
        </is>
      </c>
      <c r="C36" t="inlineStr">
        <is>
          <t>Disneyland Paris</t>
        </is>
      </c>
      <c r="D36" t="inlineStr"/>
      <c r="E36" t="inlineStr">
        <is>
          <t>2025-01-18</t>
        </is>
      </c>
      <c r="F36" t="n">
        <v>2025</v>
      </c>
      <c r="G36" t="inlineStr"/>
      <c r="H36" t="inlineStr"/>
      <c r="I36" t="inlineStr">
        <is>
          <t>jumbo pin</t>
        </is>
      </c>
      <c r="J36" t="inlineStr"/>
      <c r="K36" t="inlineStr"/>
      <c r="L36" t="inlineStr">
        <is>
          <t>limited edition</t>
        </is>
      </c>
      <c r="M36" t="n">
        <v>700</v>
      </c>
      <c r="N36" t="inlineStr"/>
      <c r="O36" t="inlineStr"/>
      <c r="P36" t="inlineStr"/>
      <c r="Q36" t="n">
        <v>1</v>
      </c>
      <c r="R36" t="n">
        <v>1</v>
      </c>
      <c r="S36">
        <f>IF(Q36="","",MAX(Q36-R36,0))</f>
        <v/>
      </c>
      <c r="T36" s="3">
        <f>IF(Q36="","",MIN(R36/Q36,1))</f>
        <v/>
      </c>
      <c r="U36" t="inlineStr">
        <is>
          <t>Henry Ravenswood</t>
        </is>
      </c>
      <c r="V36" t="inlineStr"/>
      <c r="W36" t="inlineStr">
        <is>
          <t>evidenced</t>
        </is>
      </c>
      <c r="X36" t="inlineStr">
        <is>
          <t>Low</t>
        </is>
      </c>
      <c r="Y36" t="inlineStr">
        <is>
          <t>https://disneypinsblog.com/disneyland-paris-january-2025-pin-releases/</t>
        </is>
      </c>
      <c r="Z36" t="inlineStr">
        <is>
          <t>secondary</t>
        </is>
      </c>
      <c r="AA36" t="inlineStr">
        <is>
          <t>https://www.mousesteps.com/2024/12/27/disneyland-paris-january-2025-pins-revealed/</t>
        </is>
      </c>
      <c r="AB36" t="n">
        <v>2</v>
      </c>
      <c r="AC36" t="inlineStr"/>
      <c r="AD36" t="inlineStr"/>
      <c r="AE36" t="inlineStr"/>
      <c r="AF36" t="inlineStr"/>
      <c r="AG36" t="inlineStr">
        <is>
          <t>dlp/2025/henry-ravenswood-jumbo-le-700</t>
        </is>
      </c>
    </row>
    <row r="37">
      <c r="A37" t="inlineStr">
        <is>
          <t>PHS-0036</t>
        </is>
      </c>
      <c r="B37" t="inlineStr">
        <is>
          <t>Disneyland Hotel open edition pins</t>
        </is>
      </c>
      <c r="C37" t="inlineStr">
        <is>
          <t>Disneyland Paris</t>
        </is>
      </c>
      <c r="D37" t="inlineStr"/>
      <c r="E37" t="inlineStr">
        <is>
          <t>2025-01-24</t>
        </is>
      </c>
      <c r="F37" t="n">
        <v>2025</v>
      </c>
      <c r="G37" t="inlineStr"/>
      <c r="H37" t="inlineStr"/>
      <c r="I37" t="inlineStr"/>
      <c r="J37" t="inlineStr"/>
      <c r="K37" t="inlineStr"/>
      <c r="L37" t="inlineStr">
        <is>
          <t>open edition</t>
        </is>
      </c>
      <c r="M37" t="inlineStr"/>
      <c r="N37" t="inlineStr"/>
      <c r="O37" t="inlineStr"/>
      <c r="P37" t="inlineStr"/>
      <c r="Q37" t="n">
        <v>2</v>
      </c>
      <c r="R37" t="n">
        <v>2</v>
      </c>
      <c r="S37">
        <f>IF(Q37="","",MAX(Q37-R37,0))</f>
        <v/>
      </c>
      <c r="T37" s="3">
        <f>IF(Q37="","",MIN(R37/Q37,1))</f>
        <v/>
      </c>
      <c r="U37" t="inlineStr">
        <is>
          <t>Mickey Mouse; Minnie Mouse</t>
        </is>
      </c>
      <c r="V37" t="inlineStr"/>
      <c r="W37" t="inlineStr">
        <is>
          <t>evidenced</t>
        </is>
      </c>
      <c r="X37" t="inlineStr">
        <is>
          <t>Low</t>
        </is>
      </c>
      <c r="Y37" t="inlineStr">
        <is>
          <t>http://pixiedustdlp.com/2024/12/28/disneyland-paris-pin-trading-january-2025/</t>
        </is>
      </c>
      <c r="Z37" t="inlineStr">
        <is>
          <t>secondary</t>
        </is>
      </c>
      <c r="AA37" t="inlineStr">
        <is>
          <t>https://www.mousesteps.com/2024/12/27/disneyland-paris-january-2025-pins-revealed/</t>
        </is>
      </c>
      <c r="AB37" t="n">
        <v>2</v>
      </c>
      <c r="AC37" t="inlineStr"/>
      <c r="AD37" t="inlineStr"/>
      <c r="AE37" t="inlineStr"/>
      <c r="AF37" t="inlineStr"/>
      <c r="AG37" t="inlineStr">
        <is>
          <t>dlp/2025/disneyland-hotel-oe-2025-01</t>
        </is>
      </c>
    </row>
    <row r="38">
      <c r="A38" t="inlineStr">
        <is>
          <t>PHS-0037</t>
        </is>
      </c>
      <c r="B38" t="inlineStr">
        <is>
          <t>Megara and Hercules limited edition pin</t>
        </is>
      </c>
      <c r="C38" t="inlineStr">
        <is>
          <t>Disneyland Paris</t>
        </is>
      </c>
      <c r="D38" t="inlineStr"/>
      <c r="E38" t="inlineStr">
        <is>
          <t>2025-01-25</t>
        </is>
      </c>
      <c r="F38" t="n">
        <v>2025</v>
      </c>
      <c r="G38" t="inlineStr"/>
      <c r="H38" t="inlineStr"/>
      <c r="I38" t="inlineStr"/>
      <c r="J38" t="inlineStr"/>
      <c r="K38" t="inlineStr"/>
      <c r="L38" t="inlineStr">
        <is>
          <t>limited edition</t>
        </is>
      </c>
      <c r="M38" t="n">
        <v>700</v>
      </c>
      <c r="N38" t="inlineStr"/>
      <c r="O38" t="inlineStr"/>
      <c r="P38" t="inlineStr"/>
      <c r="Q38" t="n">
        <v>1</v>
      </c>
      <c r="R38" t="n">
        <v>1</v>
      </c>
      <c r="S38">
        <f>IF(Q38="","",MAX(Q38-R38,0))</f>
        <v/>
      </c>
      <c r="T38" s="3">
        <f>IF(Q38="","",MIN(R38/Q38,1))</f>
        <v/>
      </c>
      <c r="U38" t="inlineStr">
        <is>
          <t>Hercules; Megara</t>
        </is>
      </c>
      <c r="V38" t="inlineStr"/>
      <c r="W38" t="inlineStr">
        <is>
          <t>evidenced</t>
        </is>
      </c>
      <c r="X38" t="inlineStr">
        <is>
          <t>Low</t>
        </is>
      </c>
      <c r="Y38" t="inlineStr">
        <is>
          <t>https://www.mousesteps.com/2024/12/27/disneyland-paris-january-2025-pins-revealed/</t>
        </is>
      </c>
      <c r="Z38" t="inlineStr">
        <is>
          <t>secondary</t>
        </is>
      </c>
      <c r="AA38" t="inlineStr"/>
      <c r="AB38" t="n">
        <v>1</v>
      </c>
      <c r="AC38" t="inlineStr"/>
      <c r="AD38" t="inlineStr"/>
      <c r="AE38" t="inlineStr"/>
      <c r="AF38" t="inlineStr"/>
      <c r="AG38" t="inlineStr">
        <is>
          <t>dlp/2025/megara-hercules-le-700</t>
        </is>
      </c>
    </row>
    <row r="39">
      <c r="A39" t="inlineStr">
        <is>
          <t>PHS-0038</t>
        </is>
      </c>
      <c r="B39" t="inlineStr">
        <is>
          <t>Pin Trading Time January 2025 refresher pin (Cruella)</t>
        </is>
      </c>
      <c r="C39" t="inlineStr">
        <is>
          <t>Disneyland Paris</t>
        </is>
      </c>
      <c r="D39" t="inlineStr"/>
      <c r="E39" t="inlineStr">
        <is>
          <t>2025-01-31</t>
        </is>
      </c>
      <c r="F39" t="n">
        <v>2025</v>
      </c>
      <c r="G39" t="inlineStr"/>
      <c r="H39" t="inlineStr"/>
      <c r="I39" t="inlineStr">
        <is>
          <t>event refresher pin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1</v>
      </c>
      <c r="S39">
        <f>IF(Q39="","",MAX(Q39-R39,0))</f>
        <v/>
      </c>
      <c r="T39" s="3">
        <f>IF(Q39="","",MIN(R39/Q39,1))</f>
        <v/>
      </c>
      <c r="U39" t="inlineStr">
        <is>
          <t>Cruella de Vil</t>
        </is>
      </c>
      <c r="V39" t="inlineStr"/>
      <c r="W39" t="inlineStr">
        <is>
          <t>evidenced</t>
        </is>
      </c>
      <c r="X39" t="inlineStr">
        <is>
          <t>Low</t>
        </is>
      </c>
      <c r="Y39" t="inlineStr">
        <is>
          <t>https://disneypinsblog.com/blogs/news/disneyland-paris-january-2025-pin-trading-time-event-pin-releases</t>
        </is>
      </c>
      <c r="Z39" t="inlineStr">
        <is>
          <t>secondary</t>
        </is>
      </c>
      <c r="AA39" t="inlineStr"/>
      <c r="AB39" t="n">
        <v>1</v>
      </c>
      <c r="AC39" t="inlineStr"/>
      <c r="AD39" t="inlineStr"/>
      <c r="AE39" t="inlineStr"/>
      <c r="AF39" t="inlineStr"/>
      <c r="AG39" t="inlineStr">
        <is>
          <t>dlp/2025/pin-trading-time-2025-01-cheyenne-refresher-cruella</t>
        </is>
      </c>
    </row>
    <row r="40">
      <c r="A40" t="inlineStr">
        <is>
          <t>PHS-0039</t>
        </is>
      </c>
      <c r="B40" t="inlineStr">
        <is>
          <t>Lady Tremaine limited edition pin (Cinderella silhouette)</t>
        </is>
      </c>
      <c r="C40" t="inlineStr">
        <is>
          <t>Disneyland Paris</t>
        </is>
      </c>
      <c r="D40" t="inlineStr"/>
      <c r="E40" t="inlineStr">
        <is>
          <t>2025-02-08</t>
        </is>
      </c>
      <c r="F40" t="n">
        <v>2025</v>
      </c>
      <c r="G40" t="inlineStr"/>
      <c r="H40" t="inlineStr"/>
      <c r="I40" t="inlineStr"/>
      <c r="J40" t="inlineStr"/>
      <c r="K40" t="inlineStr"/>
      <c r="L40" t="inlineStr">
        <is>
          <t>limited edition</t>
        </is>
      </c>
      <c r="M40" t="n">
        <v>700</v>
      </c>
      <c r="N40" t="inlineStr"/>
      <c r="O40" t="inlineStr"/>
      <c r="P40" t="inlineStr"/>
      <c r="Q40" t="n">
        <v>1</v>
      </c>
      <c r="R40" t="n">
        <v>1</v>
      </c>
      <c r="S40">
        <f>IF(Q40="","",MAX(Q40-R40,0))</f>
        <v/>
      </c>
      <c r="T40" s="3">
        <f>IF(Q40="","",MIN(R40/Q40,1))</f>
        <v/>
      </c>
      <c r="U40" t="inlineStr">
        <is>
          <t>Cinderella; Lady Tremaine</t>
        </is>
      </c>
      <c r="V40" t="inlineStr"/>
      <c r="W40" t="inlineStr">
        <is>
          <t>evidenced</t>
        </is>
      </c>
      <c r="X40" t="inlineStr">
        <is>
          <t>Low</t>
        </is>
      </c>
      <c r="Y40" t="inlineStr">
        <is>
          <t>https://medium.com/@disney_mouseketeer/disneyland-paris-february-2025-pins-preview-sheet-schedule-77f6c793773a</t>
        </is>
      </c>
      <c r="Z40" t="inlineStr">
        <is>
          <t>secondary</t>
        </is>
      </c>
      <c r="AA40" t="inlineStr">
        <is>
          <t>https://www.mousesteps.com/2025/01/29/disneyland-paris-shares-february-2025-pin-releases/</t>
        </is>
      </c>
      <c r="AB40" t="n">
        <v>2</v>
      </c>
      <c r="AC40" t="inlineStr"/>
      <c r="AD40" t="inlineStr"/>
      <c r="AE40" t="inlineStr"/>
      <c r="AF40" t="inlineStr"/>
      <c r="AG40" t="inlineStr">
        <is>
          <t>dlp/2025/lady-tremaine-le-700</t>
        </is>
      </c>
    </row>
    <row r="41">
      <c r="A41" t="inlineStr">
        <is>
          <t>PHS-0040</t>
        </is>
      </c>
      <c r="B41" t="inlineStr">
        <is>
          <t>Tangled Valentine's Day 2025 surprise pin</t>
        </is>
      </c>
      <c r="C41" t="inlineStr">
        <is>
          <t>Disneyland Paris</t>
        </is>
      </c>
      <c r="D41" t="inlineStr"/>
      <c r="E41" t="inlineStr">
        <is>
          <t>2025-02-14</t>
        </is>
      </c>
      <c r="F41" t="n">
        <v>2025</v>
      </c>
      <c r="G41" t="inlineStr"/>
      <c r="H41" t="inlineStr"/>
      <c r="I41" t="inlineStr">
        <is>
          <t>surprise single LE pin</t>
        </is>
      </c>
      <c r="J41" t="inlineStr"/>
      <c r="K41" t="inlineStr"/>
      <c r="L41" t="inlineStr">
        <is>
          <t>limited edition</t>
        </is>
      </c>
      <c r="M41" t="n">
        <v>700</v>
      </c>
      <c r="N41" t="inlineStr"/>
      <c r="O41" t="inlineStr"/>
      <c r="P41" t="inlineStr"/>
      <c r="Q41" t="n">
        <v>1</v>
      </c>
      <c r="R41" t="n">
        <v>1</v>
      </c>
      <c r="S41">
        <f>IF(Q41="","",MAX(Q41-R41,0))</f>
        <v/>
      </c>
      <c r="T41" s="3">
        <f>IF(Q41="","",MIN(R41/Q41,1))</f>
        <v/>
      </c>
      <c r="U41" t="inlineStr">
        <is>
          <t>Flynn Rider; Rapunzel</t>
        </is>
      </c>
      <c r="V41" t="inlineStr"/>
      <c r="W41" t="inlineStr">
        <is>
          <t>evidenced</t>
        </is>
      </c>
      <c r="X41" t="inlineStr">
        <is>
          <t>Low</t>
        </is>
      </c>
      <c r="Y41" t="inlineStr">
        <is>
          <t>https://disneypinsblog.com/blogs/news/surprise-tangled-valentines-day-2025-pin-at-disneyland-paris</t>
        </is>
      </c>
      <c r="Z41" t="inlineStr">
        <is>
          <t>secondary</t>
        </is>
      </c>
      <c r="AA41" t="inlineStr">
        <is>
          <t>https://disneypinsblog.com/surprise-tangled-valentines-day-2025-pin-at-disneyland-paris/</t>
        </is>
      </c>
      <c r="AB41" t="n">
        <v>1</v>
      </c>
      <c r="AC41" t="inlineStr"/>
      <c r="AD41" t="inlineStr"/>
      <c r="AE41" t="inlineStr"/>
      <c r="AF41" t="inlineStr"/>
      <c r="AG41" t="inlineStr">
        <is>
          <t>dlp/2025/tangled-valentines-day-2025-surprise-le-700</t>
        </is>
      </c>
    </row>
    <row r="42">
      <c r="A42" t="inlineStr">
        <is>
          <t>PHS-0041</t>
        </is>
      </c>
      <c r="B42" t="inlineStr">
        <is>
          <t>Cinderella 75th Anniversary limited edition pins</t>
        </is>
      </c>
      <c r="C42" t="inlineStr">
        <is>
          <t>Disneyland Paris</t>
        </is>
      </c>
      <c r="D42" t="inlineStr"/>
      <c r="E42" t="inlineStr">
        <is>
          <t>2025-02-15</t>
        </is>
      </c>
      <c r="F42" t="n">
        <v>2025</v>
      </c>
      <c r="G42" t="inlineStr"/>
      <c r="H42" t="inlineStr"/>
      <c r="I42" t="inlineStr"/>
      <c r="J42" t="inlineStr"/>
      <c r="K42" t="inlineStr"/>
      <c r="L42" t="inlineStr">
        <is>
          <t>limited edition</t>
        </is>
      </c>
      <c r="M42" t="inlineStr"/>
      <c r="N42" t="inlineStr"/>
      <c r="O42" t="inlineStr"/>
      <c r="P42" t="inlineStr"/>
      <c r="Q42" t="n">
        <v>3</v>
      </c>
      <c r="R42" t="n">
        <v>3</v>
      </c>
      <c r="S42">
        <f>IF(Q42="","",MAX(Q42-R42,0))</f>
        <v/>
      </c>
      <c r="T42" s="3">
        <f>IF(Q42="","",MIN(R42/Q42,1))</f>
        <v/>
      </c>
      <c r="U42" t="inlineStr">
        <is>
          <t>Gus; Jaq; Prince Charming; Snow White; Cinderella 75th Anniversary spinner pin</t>
        </is>
      </c>
      <c r="V42" t="inlineStr"/>
      <c r="W42" t="inlineStr">
        <is>
          <t>evidenced</t>
        </is>
      </c>
      <c r="X42" t="inlineStr">
        <is>
          <t>Low</t>
        </is>
      </c>
      <c r="Y42" t="inlineStr">
        <is>
          <t>https://medium.com/@disney_mouseketeer/disneyland-paris-february-2025-pins-preview-sheet-schedule-77f6c793773a</t>
        </is>
      </c>
      <c r="Z42" t="inlineStr">
        <is>
          <t>secondary</t>
        </is>
      </c>
      <c r="AA42" t="inlineStr">
        <is>
          <t>https://www.mousesteps.com/2025/01/29/disneyland-paris-shares-february-2025-pin-releases/</t>
        </is>
      </c>
      <c r="AB42" t="n">
        <v>2</v>
      </c>
      <c r="AC42" t="inlineStr"/>
      <c r="AD42" t="inlineStr"/>
      <c r="AE42" t="inlineStr"/>
      <c r="AF42" t="inlineStr"/>
      <c r="AG42" t="inlineStr">
        <is>
          <t>dlp/2025/cinderella-75th-anniversary-le-2025-02-15</t>
        </is>
      </c>
    </row>
    <row r="43">
      <c r="A43" t="inlineStr">
        <is>
          <t>PHS-0042</t>
        </is>
      </c>
      <c r="B43" t="inlineStr">
        <is>
          <t>Lady and the Tramp limited edition pin</t>
        </is>
      </c>
      <c r="C43" t="inlineStr">
        <is>
          <t>Disneyland Paris</t>
        </is>
      </c>
      <c r="D43" t="inlineStr"/>
      <c r="E43" t="inlineStr">
        <is>
          <t>2025-02-15</t>
        </is>
      </c>
      <c r="F43" t="n">
        <v>2025</v>
      </c>
      <c r="G43" t="inlineStr"/>
      <c r="H43" t="inlineStr"/>
      <c r="I43" t="inlineStr"/>
      <c r="J43" t="inlineStr"/>
      <c r="K43" t="inlineStr"/>
      <c r="L43" t="inlineStr">
        <is>
          <t>limited edition</t>
        </is>
      </c>
      <c r="M43" t="inlineStr"/>
      <c r="N43" t="inlineStr"/>
      <c r="O43" t="inlineStr"/>
      <c r="P43" t="inlineStr"/>
      <c r="Q43" t="inlineStr"/>
      <c r="R43" t="n">
        <v>1</v>
      </c>
      <c r="S43">
        <f>IF(Q43="","",MAX(Q43-R43,0))</f>
        <v/>
      </c>
      <c r="T43" s="3">
        <f>IF(Q43="","",MIN(R43/Q43,1))</f>
        <v/>
      </c>
      <c r="U43" t="inlineStr">
        <is>
          <t>Lady; Tramp</t>
        </is>
      </c>
      <c r="V43" t="inlineStr"/>
      <c r="W43" t="inlineStr">
        <is>
          <t>evidenced</t>
        </is>
      </c>
      <c r="X43" t="inlineStr">
        <is>
          <t>Low</t>
        </is>
      </c>
      <c r="Y43" t="inlineStr">
        <is>
          <t>https://www.mousesteps.com/2025/01/29/disneyland-paris-shares-february-2025-pin-releases/</t>
        </is>
      </c>
      <c r="Z43" t="inlineStr">
        <is>
          <t>secondary</t>
        </is>
      </c>
      <c r="AA43" t="inlineStr"/>
      <c r="AB43" t="n">
        <v>1</v>
      </c>
      <c r="AC43" t="inlineStr"/>
      <c r="AD43" t="inlineStr"/>
      <c r="AE43" t="inlineStr"/>
      <c r="AF43" t="inlineStr"/>
      <c r="AG43" t="inlineStr">
        <is>
          <t>dlp/2025/lady-and-the-tramp-le-2025-02-15</t>
        </is>
      </c>
    </row>
    <row r="44">
      <c r="A44" t="inlineStr">
        <is>
          <t>PHS-0043</t>
        </is>
      </c>
      <c r="B44" t="inlineStr">
        <is>
          <t>Paris-themed Mickey &amp; Friends pins</t>
        </is>
      </c>
      <c r="C44" t="inlineStr">
        <is>
          <t>Disneyland Paris</t>
        </is>
      </c>
      <c r="D44" t="inlineStr"/>
      <c r="E44" t="inlineStr">
        <is>
          <t>2025-03-01</t>
        </is>
      </c>
      <c r="F44" t="n">
        <v>2025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>
        <f>IF(Q44="","",MAX(Q44-R44,0))</f>
        <v/>
      </c>
      <c r="T44" s="3">
        <f>IF(Q44="","",MIN(R44/Q44,1))</f>
        <v/>
      </c>
      <c r="U44" t="inlineStr">
        <is>
          <t>Angel; Stitch; Chip; Dale; Daisy Duck; Donald Duck; Mickey Mouse; Minnie Mouse</t>
        </is>
      </c>
      <c r="V44" t="inlineStr"/>
      <c r="W44" t="inlineStr">
        <is>
          <t>evidenced</t>
        </is>
      </c>
      <c r="X44" t="inlineStr">
        <is>
          <t>Low</t>
        </is>
      </c>
      <c r="Y44" t="inlineStr">
        <is>
          <t>https://www.laughingplace.com/w/disney-parks/disneyland-paris-pin-release-march-2025/</t>
        </is>
      </c>
      <c r="Z44" t="inlineStr">
        <is>
          <t>secondary</t>
        </is>
      </c>
      <c r="AA44" t="inlineStr">
        <is>
          <t>https://www.mousesteps.com/2025/02/26/disneyland-paris-pin-releases-for-march-2025-revealed/</t>
        </is>
      </c>
      <c r="AB44" t="n">
        <v>2</v>
      </c>
      <c r="AC44" t="inlineStr"/>
      <c r="AD44" t="inlineStr"/>
      <c r="AE44" t="inlineStr"/>
      <c r="AF44" t="inlineStr"/>
      <c r="AG44" t="inlineStr">
        <is>
          <t>dlp/2025/paris-mickey-friends-2025-03-01</t>
        </is>
      </c>
    </row>
    <row r="45">
      <c r="A45" t="inlineStr">
        <is>
          <t>PHS-0044</t>
        </is>
      </c>
      <c r="B45" t="inlineStr">
        <is>
          <t>Duchess and O'Malley limited edition pin</t>
        </is>
      </c>
      <c r="C45" t="inlineStr">
        <is>
          <t>Disneyland Paris</t>
        </is>
      </c>
      <c r="D45" t="inlineStr"/>
      <c r="E45" t="inlineStr">
        <is>
          <t>2025-03-08</t>
        </is>
      </c>
      <c r="F45" t="n">
        <v>2025</v>
      </c>
      <c r="G45" t="inlineStr"/>
      <c r="H45" t="inlineStr"/>
      <c r="I45" t="inlineStr"/>
      <c r="J45" t="inlineStr"/>
      <c r="K45" t="inlineStr"/>
      <c r="L45" t="inlineStr">
        <is>
          <t>limited edition</t>
        </is>
      </c>
      <c r="M45" t="inlineStr"/>
      <c r="N45" t="inlineStr"/>
      <c r="O45" t="inlineStr"/>
      <c r="P45" t="inlineStr"/>
      <c r="Q45" t="n">
        <v>1</v>
      </c>
      <c r="R45" t="n">
        <v>1</v>
      </c>
      <c r="S45">
        <f>IF(Q45="","",MAX(Q45-R45,0))</f>
        <v/>
      </c>
      <c r="T45" s="3">
        <f>IF(Q45="","",MIN(R45/Q45,1))</f>
        <v/>
      </c>
      <c r="U45" t="inlineStr">
        <is>
          <t>Duchess; Thomas O'Malley</t>
        </is>
      </c>
      <c r="V45" t="inlineStr"/>
      <c r="W45" t="inlineStr">
        <is>
          <t>evidenced</t>
        </is>
      </c>
      <c r="X45" t="inlineStr">
        <is>
          <t>Low</t>
        </is>
      </c>
      <c r="Y45" t="inlineStr">
        <is>
          <t>https://www.laughingplace.com/w/disney-parks/disneyland-paris-pin-release-march-2025/</t>
        </is>
      </c>
      <c r="Z45" t="inlineStr">
        <is>
          <t>secondary</t>
        </is>
      </c>
      <c r="AA45" t="inlineStr">
        <is>
          <t>https://www.mousesteps.com/2025/02/26/disneyland-paris-pin-releases-for-march-2025-revealed/</t>
        </is>
      </c>
      <c r="AB45" t="n">
        <v>2</v>
      </c>
      <c r="AC45" t="inlineStr"/>
      <c r="AD45" t="inlineStr"/>
      <c r="AE45" t="inlineStr"/>
      <c r="AF45" t="inlineStr"/>
      <c r="AG45" t="inlineStr">
        <is>
          <t>dlp/2025/duchess-omalley-le-2025-03-08</t>
        </is>
      </c>
    </row>
    <row r="46">
      <c r="A46" t="inlineStr">
        <is>
          <t>PHS-0045</t>
        </is>
      </c>
      <c r="B46" t="inlineStr">
        <is>
          <t>Stitch as Disney Villains series</t>
        </is>
      </c>
      <c r="C46" t="inlineStr">
        <is>
          <t>Disneyland Paris</t>
        </is>
      </c>
      <c r="D46" t="inlineStr"/>
      <c r="E46" t="inlineStr">
        <is>
          <t>2025-03-08</t>
        </is>
      </c>
      <c r="F46" t="n">
        <v>2025</v>
      </c>
      <c r="G46" t="inlineStr"/>
      <c r="H46" t="inlineStr"/>
      <c r="I46" t="inlineStr"/>
      <c r="J46" t="inlineStr"/>
      <c r="K46" t="inlineStr"/>
      <c r="L46" t="inlineStr">
        <is>
          <t>limited edition</t>
        </is>
      </c>
      <c r="M46" t="inlineStr"/>
      <c r="N46" t="inlineStr"/>
      <c r="O46" t="inlineStr"/>
      <c r="P46" t="inlineStr"/>
      <c r="Q46" t="inlineStr"/>
      <c r="R46" t="n">
        <v>4</v>
      </c>
      <c r="S46">
        <f>IF(Q46="","",MAX(Q46-R46,0))</f>
        <v/>
      </c>
      <c r="T46" s="3">
        <f>IF(Q46="","",MIN(R46/Q46,1))</f>
        <v/>
      </c>
      <c r="U46" t="inlineStr">
        <is>
          <t>Stitch</t>
        </is>
      </c>
      <c r="V46" t="inlineStr"/>
      <c r="W46" t="inlineStr">
        <is>
          <t>evidenced (held)</t>
        </is>
      </c>
      <c r="X46" t="inlineStr">
        <is>
          <t>Low</t>
        </is>
      </c>
      <c r="Y46" t="inlineStr">
        <is>
          <t>https://www.laughingplace.com/w/disney-parks/disneyland-paris-pin-release-march-2025/</t>
        </is>
      </c>
      <c r="Z46" t="inlineStr">
        <is>
          <t>secondary</t>
        </is>
      </c>
      <c r="AA46" t="inlineStr">
        <is>
          <t>https://www.mousesteps.com/2025/02/26/disneyland-paris-pin-releases-for-march-2025-revealed/</t>
        </is>
      </c>
      <c r="AB46" t="n">
        <v>2</v>
      </c>
      <c r="AC46" t="inlineStr"/>
      <c r="AD46" t="inlineStr"/>
      <c r="AE46" t="inlineStr"/>
      <c r="AF46" t="inlineStr"/>
      <c r="AG46" t="inlineStr">
        <is>
          <t>dlp/2025/stitch-villains-series-2025-03-08</t>
        </is>
      </c>
    </row>
    <row r="47">
      <c r="A47" t="inlineStr">
        <is>
          <t>PHS-0046</t>
        </is>
      </c>
      <c r="B47" t="inlineStr">
        <is>
          <t>Maleficent with Aurora silhouette limited edition pin</t>
        </is>
      </c>
      <c r="C47" t="inlineStr">
        <is>
          <t>Disneyland Paris</t>
        </is>
      </c>
      <c r="D47" t="inlineStr"/>
      <c r="E47" t="inlineStr">
        <is>
          <t>2025-03-15</t>
        </is>
      </c>
      <c r="F47" t="n">
        <v>2025</v>
      </c>
      <c r="G47" t="inlineStr"/>
      <c r="H47" t="inlineStr"/>
      <c r="I47" t="inlineStr"/>
      <c r="J47" t="inlineStr"/>
      <c r="K47" t="inlineStr"/>
      <c r="L47" t="inlineStr">
        <is>
          <t>limited edition</t>
        </is>
      </c>
      <c r="M47" t="inlineStr"/>
      <c r="N47" t="inlineStr"/>
      <c r="O47" t="inlineStr"/>
      <c r="P47" t="inlineStr"/>
      <c r="Q47" t="n">
        <v>1</v>
      </c>
      <c r="R47" t="n">
        <v>1</v>
      </c>
      <c r="S47">
        <f>IF(Q47="","",MAX(Q47-R47,0))</f>
        <v/>
      </c>
      <c r="T47" s="3">
        <f>IF(Q47="","",MIN(R47/Q47,1))</f>
        <v/>
      </c>
      <c r="U47" t="inlineStr">
        <is>
          <t>Aurora; Maleficent</t>
        </is>
      </c>
      <c r="V47" t="inlineStr"/>
      <c r="W47" t="inlineStr">
        <is>
          <t>evidenced</t>
        </is>
      </c>
      <c r="X47" t="inlineStr">
        <is>
          <t>Low</t>
        </is>
      </c>
      <c r="Y47" t="inlineStr">
        <is>
          <t>https://www.laughingplace.com/w/disney-parks/disneyland-paris-pin-release-march-2025/</t>
        </is>
      </c>
      <c r="Z47" t="inlineStr">
        <is>
          <t>secondary</t>
        </is>
      </c>
      <c r="AA47" t="inlineStr">
        <is>
          <t>https://www.mousesteps.com/2025/02/26/disneyland-paris-pin-releases-for-march-2025-revealed/</t>
        </is>
      </c>
      <c r="AB47" t="n">
        <v>2</v>
      </c>
      <c r="AC47" t="inlineStr"/>
      <c r="AD47" t="inlineStr"/>
      <c r="AE47" t="inlineStr"/>
      <c r="AF47" t="inlineStr"/>
      <c r="AG47" t="inlineStr">
        <is>
          <t>dlp/2025/maleficent-aurora-silhouette-le-2025-03-15</t>
        </is>
      </c>
    </row>
    <row r="48">
      <c r="A48" t="inlineStr">
        <is>
          <t>PHS-0047</t>
        </is>
      </c>
      <c r="B48" t="inlineStr">
        <is>
          <t>Scrooge McDuck St. Patrick's Day limited edition pin</t>
        </is>
      </c>
      <c r="C48" t="inlineStr">
        <is>
          <t>Disneyland Paris</t>
        </is>
      </c>
      <c r="D48" t="inlineStr"/>
      <c r="E48" t="inlineStr">
        <is>
          <t>2025-03-15</t>
        </is>
      </c>
      <c r="F48" t="n">
        <v>2025</v>
      </c>
      <c r="G48" t="inlineStr"/>
      <c r="H48" t="inlineStr"/>
      <c r="I48" t="inlineStr"/>
      <c r="J48" t="inlineStr"/>
      <c r="K48" t="inlineStr"/>
      <c r="L48" t="inlineStr">
        <is>
          <t>limited edition</t>
        </is>
      </c>
      <c r="M48" t="inlineStr"/>
      <c r="N48" t="inlineStr"/>
      <c r="O48" t="inlineStr"/>
      <c r="P48" t="inlineStr"/>
      <c r="Q48" t="n">
        <v>1</v>
      </c>
      <c r="R48" t="n">
        <v>1</v>
      </c>
      <c r="S48">
        <f>IF(Q48="","",MAX(Q48-R48,0))</f>
        <v/>
      </c>
      <c r="T48" s="3">
        <f>IF(Q48="","",MIN(R48/Q48,1))</f>
        <v/>
      </c>
      <c r="U48" t="inlineStr">
        <is>
          <t>Scrooge McDuck</t>
        </is>
      </c>
      <c r="V48" t="inlineStr"/>
      <c r="W48" t="inlineStr">
        <is>
          <t>evidenced</t>
        </is>
      </c>
      <c r="X48" t="inlineStr">
        <is>
          <t>Low</t>
        </is>
      </c>
      <c r="Y48" t="inlineStr">
        <is>
          <t>https://www.laughingplace.com/w/disney-parks/disneyland-paris-pin-release-march-2025/</t>
        </is>
      </c>
      <c r="Z48" t="inlineStr">
        <is>
          <t>secondary</t>
        </is>
      </c>
      <c r="AA48" t="inlineStr">
        <is>
          <t>https://www.mousesteps.com/2025/02/26/disneyland-paris-pin-releases-for-march-2025-revealed/</t>
        </is>
      </c>
      <c r="AB48" t="n">
        <v>2</v>
      </c>
      <c r="AC48" t="inlineStr"/>
      <c r="AD48" t="inlineStr"/>
      <c r="AE48" t="inlineStr"/>
      <c r="AF48" t="inlineStr"/>
      <c r="AG48" t="inlineStr">
        <is>
          <t>dlp/2025/scrooge-st-patricks-day-le-2025-03-15</t>
        </is>
      </c>
    </row>
    <row r="49">
      <c r="A49" t="inlineStr">
        <is>
          <t>PHS-0048</t>
        </is>
      </c>
      <c r="B49" t="inlineStr">
        <is>
          <t>Snow White Spring (Printemps) 2025 limited edition pin</t>
        </is>
      </c>
      <c r="C49" t="inlineStr">
        <is>
          <t>Disneyland Paris</t>
        </is>
      </c>
      <c r="D49" t="inlineStr"/>
      <c r="E49" t="inlineStr">
        <is>
          <t>2025-03-15</t>
        </is>
      </c>
      <c r="F49" t="n">
        <v>2025</v>
      </c>
      <c r="G49" t="inlineStr"/>
      <c r="H49" t="inlineStr"/>
      <c r="I49" t="inlineStr"/>
      <c r="J49" t="inlineStr"/>
      <c r="K49" t="inlineStr"/>
      <c r="L49" t="inlineStr">
        <is>
          <t>limited edition</t>
        </is>
      </c>
      <c r="M49" t="inlineStr"/>
      <c r="N49" t="inlineStr"/>
      <c r="O49" t="inlineStr"/>
      <c r="P49" t="inlineStr"/>
      <c r="Q49" t="n">
        <v>1</v>
      </c>
      <c r="R49" t="n">
        <v>1</v>
      </c>
      <c r="S49">
        <f>IF(Q49="","",MAX(Q49-R49,0))</f>
        <v/>
      </c>
      <c r="T49" s="3">
        <f>IF(Q49="","",MIN(R49/Q49,1))</f>
        <v/>
      </c>
      <c r="U49" t="inlineStr">
        <is>
          <t>Snow White</t>
        </is>
      </c>
      <c r="V49" t="inlineStr"/>
      <c r="W49" t="inlineStr">
        <is>
          <t>evidenced</t>
        </is>
      </c>
      <c r="X49" t="inlineStr">
        <is>
          <t>Low</t>
        </is>
      </c>
      <c r="Y49" t="inlineStr">
        <is>
          <t>https://www.laughingplace.com/w/disney-parks/disneyland-paris-pin-release-march-2025/</t>
        </is>
      </c>
      <c r="Z49" t="inlineStr">
        <is>
          <t>secondary</t>
        </is>
      </c>
      <c r="AA49" t="inlineStr">
        <is>
          <t>https://www.mousesteps.com/2025/02/26/disneyland-paris-pin-releases-for-march-2025-revealed/</t>
        </is>
      </c>
      <c r="AB49" t="n">
        <v>2</v>
      </c>
      <c r="AC49" t="inlineStr"/>
      <c r="AD49" t="inlineStr"/>
      <c r="AE49" t="inlineStr"/>
      <c r="AF49" t="inlineStr"/>
      <c r="AG49" t="inlineStr">
        <is>
          <t>dlp/2025/snow-white-printemps-2025-le-2025-03-15</t>
        </is>
      </c>
    </row>
    <row r="50">
      <c r="A50" t="inlineStr">
        <is>
          <t>PHS-0049</t>
        </is>
      </c>
      <c r="B50" t="inlineStr">
        <is>
          <t>Jumbo Mickey Mouse limited edition pin</t>
        </is>
      </c>
      <c r="C50" t="inlineStr">
        <is>
          <t>Disneyland Paris</t>
        </is>
      </c>
      <c r="D50" t="inlineStr"/>
      <c r="E50" t="inlineStr">
        <is>
          <t>2025-03-22</t>
        </is>
      </c>
      <c r="F50" t="n">
        <v>2025</v>
      </c>
      <c r="G50" t="inlineStr"/>
      <c r="H50" t="inlineStr"/>
      <c r="I50" t="inlineStr">
        <is>
          <t>jumbo pin</t>
        </is>
      </c>
      <c r="J50" t="inlineStr"/>
      <c r="K50" t="inlineStr"/>
      <c r="L50" t="inlineStr">
        <is>
          <t>limited edition</t>
        </is>
      </c>
      <c r="M50" t="inlineStr"/>
      <c r="N50" t="inlineStr"/>
      <c r="O50" t="inlineStr"/>
      <c r="P50" t="inlineStr"/>
      <c r="Q50" t="inlineStr"/>
      <c r="R50" t="n">
        <v>1</v>
      </c>
      <c r="S50">
        <f>IF(Q50="","",MAX(Q50-R50,0))</f>
        <v/>
      </c>
      <c r="T50" s="3">
        <f>IF(Q50="","",MIN(R50/Q50,1))</f>
        <v/>
      </c>
      <c r="U50" t="inlineStr">
        <is>
          <t>Mickey Mouse</t>
        </is>
      </c>
      <c r="V50" t="inlineStr"/>
      <c r="W50" t="inlineStr">
        <is>
          <t>evidenced</t>
        </is>
      </c>
      <c r="X50" t="inlineStr">
        <is>
          <t>Low</t>
        </is>
      </c>
      <c r="Y50" t="inlineStr">
        <is>
          <t>https://www.laughingplace.com/w/disney-parks/disneyland-paris-pin-release-march-2025/</t>
        </is>
      </c>
      <c r="Z50" t="inlineStr">
        <is>
          <t>secondary</t>
        </is>
      </c>
      <c r="AA50" t="inlineStr">
        <is>
          <t>https://www.mousesteps.com/2025/02/26/disneyland-paris-pin-releases-for-march-2025-revealed/</t>
        </is>
      </c>
      <c r="AB50" t="n">
        <v>2</v>
      </c>
      <c r="AC50" t="inlineStr"/>
      <c r="AD50" t="inlineStr"/>
      <c r="AE50" t="inlineStr"/>
      <c r="AF50" t="inlineStr"/>
      <c r="AG50" t="inlineStr">
        <is>
          <t>dlp/2025/jumbo-mickey-le-2025-03-22</t>
        </is>
      </c>
    </row>
    <row r="51">
      <c r="A51" t="inlineStr">
        <is>
          <t>PHS-0050</t>
        </is>
      </c>
      <c r="B51" t="inlineStr">
        <is>
          <t>Olaf limited edition pin</t>
        </is>
      </c>
      <c r="C51" t="inlineStr">
        <is>
          <t>Disneyland Paris</t>
        </is>
      </c>
      <c r="D51" t="inlineStr"/>
      <c r="E51" t="inlineStr">
        <is>
          <t>2025-03-22</t>
        </is>
      </c>
      <c r="F51" t="n">
        <v>2025</v>
      </c>
      <c r="G51" t="inlineStr"/>
      <c r="H51" t="inlineStr"/>
      <c r="I51" t="inlineStr"/>
      <c r="J51" t="inlineStr"/>
      <c r="K51" t="inlineStr"/>
      <c r="L51" t="inlineStr">
        <is>
          <t>limited edition</t>
        </is>
      </c>
      <c r="M51" t="inlineStr"/>
      <c r="N51" t="inlineStr"/>
      <c r="O51" t="inlineStr"/>
      <c r="P51" t="inlineStr"/>
      <c r="Q51" t="inlineStr"/>
      <c r="R51" t="n">
        <v>1</v>
      </c>
      <c r="S51">
        <f>IF(Q51="","",MAX(Q51-R51,0))</f>
        <v/>
      </c>
      <c r="T51" s="3">
        <f>IF(Q51="","",MIN(R51/Q51,1))</f>
        <v/>
      </c>
      <c r="U51" t="inlineStr">
        <is>
          <t>Olaf</t>
        </is>
      </c>
      <c r="V51" t="inlineStr"/>
      <c r="W51" t="inlineStr">
        <is>
          <t>evidenced</t>
        </is>
      </c>
      <c r="X51" t="inlineStr">
        <is>
          <t>Low</t>
        </is>
      </c>
      <c r="Y51" t="inlineStr">
        <is>
          <t>https://www.laughingplace.com/w/disney-parks/disneyland-paris-pin-release-march-2025/</t>
        </is>
      </c>
      <c r="Z51" t="inlineStr">
        <is>
          <t>secondary</t>
        </is>
      </c>
      <c r="AA51" t="inlineStr">
        <is>
          <t>https://www.mousesteps.com/2025/02/26/disneyland-paris-pin-releases-for-march-2025-revealed/</t>
        </is>
      </c>
      <c r="AB51" t="n">
        <v>2</v>
      </c>
      <c r="AC51" t="inlineStr"/>
      <c r="AD51" t="inlineStr"/>
      <c r="AE51" t="inlineStr"/>
      <c r="AF51" t="inlineStr"/>
      <c r="AG51" t="inlineStr">
        <is>
          <t>dlp/2025/olaf-le-2025-03-22</t>
        </is>
      </c>
    </row>
    <row r="52">
      <c r="A52" t="inlineStr">
        <is>
          <t>PHS-0051</t>
        </is>
      </c>
      <c r="B52" t="inlineStr">
        <is>
          <t>Peter Pan limited edition pin</t>
        </is>
      </c>
      <c r="C52" t="inlineStr">
        <is>
          <t>Disneyland Paris</t>
        </is>
      </c>
      <c r="D52" t="inlineStr"/>
      <c r="E52" t="inlineStr">
        <is>
          <t>2025-03-22</t>
        </is>
      </c>
      <c r="F52" t="n">
        <v>2025</v>
      </c>
      <c r="G52" t="inlineStr"/>
      <c r="H52" t="inlineStr"/>
      <c r="I52" t="inlineStr"/>
      <c r="J52" t="inlineStr"/>
      <c r="K52" t="inlineStr"/>
      <c r="L52" t="inlineStr">
        <is>
          <t>limited edition</t>
        </is>
      </c>
      <c r="M52" t="inlineStr"/>
      <c r="N52" t="inlineStr"/>
      <c r="O52" t="inlineStr"/>
      <c r="P52" t="inlineStr"/>
      <c r="Q52" t="inlineStr"/>
      <c r="R52" t="n">
        <v>1</v>
      </c>
      <c r="S52">
        <f>IF(Q52="","",MAX(Q52-R52,0))</f>
        <v/>
      </c>
      <c r="T52" s="3">
        <f>IF(Q52="","",MIN(R52/Q52,1))</f>
        <v/>
      </c>
      <c r="U52" t="inlineStr">
        <is>
          <t>Peter Pan</t>
        </is>
      </c>
      <c r="V52" t="inlineStr"/>
      <c r="W52" t="inlineStr">
        <is>
          <t>evidenced</t>
        </is>
      </c>
      <c r="X52" t="inlineStr">
        <is>
          <t>Low</t>
        </is>
      </c>
      <c r="Y52" t="inlineStr">
        <is>
          <t>https://www.laughingplace.com/w/disney-parks/disneyland-paris-pin-release-march-2025/</t>
        </is>
      </c>
      <c r="Z52" t="inlineStr">
        <is>
          <t>secondary</t>
        </is>
      </c>
      <c r="AA52" t="inlineStr">
        <is>
          <t>https://www.mousesteps.com/2025/02/26/disneyland-paris-pin-releases-for-march-2025-revealed/</t>
        </is>
      </c>
      <c r="AB52" t="n">
        <v>2</v>
      </c>
      <c r="AC52" t="inlineStr"/>
      <c r="AD52" t="inlineStr"/>
      <c r="AE52" t="inlineStr"/>
      <c r="AF52" t="inlineStr"/>
      <c r="AG52" t="inlineStr">
        <is>
          <t>dlp/2025/peter-pan-le-2025-03-22</t>
        </is>
      </c>
    </row>
    <row r="53">
      <c r="A53" t="inlineStr">
        <is>
          <t>PHS-0052</t>
        </is>
      </c>
      <c r="B53" t="inlineStr">
        <is>
          <t>Dumbo and Rabbit butterfly limited edition pins</t>
        </is>
      </c>
      <c r="C53" t="inlineStr">
        <is>
          <t>Disneyland Paris</t>
        </is>
      </c>
      <c r="D53" t="inlineStr"/>
      <c r="E53" t="inlineStr">
        <is>
          <t>2025-03-29</t>
        </is>
      </c>
      <c r="F53" t="n">
        <v>2025</v>
      </c>
      <c r="G53" t="inlineStr"/>
      <c r="H53" t="inlineStr"/>
      <c r="I53" t="inlineStr"/>
      <c r="J53" t="inlineStr"/>
      <c r="K53" t="inlineStr"/>
      <c r="L53" t="inlineStr">
        <is>
          <t>limited edition</t>
        </is>
      </c>
      <c r="M53" t="inlineStr"/>
      <c r="N53" t="inlineStr"/>
      <c r="O53" t="inlineStr"/>
      <c r="P53" t="inlineStr"/>
      <c r="Q53" t="n">
        <v>2</v>
      </c>
      <c r="R53" t="n">
        <v>2</v>
      </c>
      <c r="S53">
        <f>IF(Q53="","",MAX(Q53-R53,0))</f>
        <v/>
      </c>
      <c r="T53" s="3">
        <f>IF(Q53="","",MIN(R53/Q53,1))</f>
        <v/>
      </c>
      <c r="U53" t="inlineStr">
        <is>
          <t>Dumbo; Rabbit; Thumper</t>
        </is>
      </c>
      <c r="V53" t="inlineStr"/>
      <c r="W53" t="inlineStr">
        <is>
          <t>evidenced</t>
        </is>
      </c>
      <c r="X53" t="inlineStr">
        <is>
          <t>Low</t>
        </is>
      </c>
      <c r="Y53" t="inlineStr">
        <is>
          <t>https://disneypinsblog.com/disneyland-paris-march-2025-pin-releases/</t>
        </is>
      </c>
      <c r="Z53" t="inlineStr">
        <is>
          <t>secondary</t>
        </is>
      </c>
      <c r="AA53" t="inlineStr">
        <is>
          <t>https://www.laughingplace.com/w/disney-parks/disneyland-paris-pin-release-march-2025/</t>
        </is>
      </c>
      <c r="AB53" t="n">
        <v>3</v>
      </c>
      <c r="AC53" t="inlineStr"/>
      <c r="AD53" t="inlineStr"/>
      <c r="AE53" t="inlineStr"/>
      <c r="AF53" t="inlineStr"/>
      <c r="AG53" t="inlineStr">
        <is>
          <t>dlp/2025/dumbo-rabbit-butterfly-le-2025-03-29</t>
        </is>
      </c>
    </row>
    <row r="54">
      <c r="A54" t="inlineStr">
        <is>
          <t>PHS-0053</t>
        </is>
      </c>
      <c r="B54" t="inlineStr">
        <is>
          <t>Pixar Ball pin</t>
        </is>
      </c>
      <c r="C54" t="inlineStr">
        <is>
          <t>Disneyland Paris</t>
        </is>
      </c>
      <c r="D54" t="inlineStr"/>
      <c r="E54" t="inlineStr">
        <is>
          <t>2025-03-29</t>
        </is>
      </c>
      <c r="F54" t="n">
        <v>2025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>
        <f>IF(Q54="","",MAX(Q54-R54,0))</f>
        <v/>
      </c>
      <c r="T54" s="3">
        <f>IF(Q54="","",MIN(R54/Q54,1))</f>
        <v/>
      </c>
      <c r="U54" t="inlineStr">
        <is>
          <t>Pixar Ball</t>
        </is>
      </c>
      <c r="V54" t="inlineStr"/>
      <c r="W54" t="inlineStr">
        <is>
          <t>evidenced</t>
        </is>
      </c>
      <c r="X54" t="inlineStr">
        <is>
          <t>Low</t>
        </is>
      </c>
      <c r="Y54" t="inlineStr">
        <is>
          <t>https://www.mousesteps.com/2025/02/26/disneyland-paris-pin-releases-for-march-2025-revealed/</t>
        </is>
      </c>
      <c r="Z54" t="inlineStr">
        <is>
          <t>secondary</t>
        </is>
      </c>
      <c r="AA54" t="inlineStr"/>
      <c r="AB54" t="n">
        <v>1</v>
      </c>
      <c r="AC54" t="inlineStr"/>
      <c r="AD54" t="inlineStr"/>
      <c r="AE54" t="inlineStr"/>
      <c r="AF54" t="inlineStr"/>
      <c r="AG54" t="inlineStr">
        <is>
          <t>dlp/2025/pixar-ball-2025-03-29</t>
        </is>
      </c>
    </row>
    <row r="55">
      <c r="A55" t="inlineStr">
        <is>
          <t>PHS-0054</t>
        </is>
      </c>
      <c r="B55" t="inlineStr">
        <is>
          <t>Yzma &amp; Kuzco limited edition pin</t>
        </is>
      </c>
      <c r="C55" t="inlineStr">
        <is>
          <t>Disneyland Paris</t>
        </is>
      </c>
      <c r="D55" t="inlineStr"/>
      <c r="E55" t="inlineStr">
        <is>
          <t>2025-04-05</t>
        </is>
      </c>
      <c r="F55" t="n">
        <v>2025</v>
      </c>
      <c r="G55" t="inlineStr"/>
      <c r="H55" t="inlineStr"/>
      <c r="I55" t="inlineStr"/>
      <c r="J55" t="inlineStr"/>
      <c r="K55" t="inlineStr"/>
      <c r="L55" t="inlineStr">
        <is>
          <t>limited edition</t>
        </is>
      </c>
      <c r="M55" t="n">
        <v>700</v>
      </c>
      <c r="N55" t="n">
        <v>20</v>
      </c>
      <c r="O55" t="inlineStr">
        <is>
          <t>EUR</t>
        </is>
      </c>
      <c r="P55" t="inlineStr"/>
      <c r="Q55" t="inlineStr"/>
      <c r="R55" t="n">
        <v>1</v>
      </c>
      <c r="S55">
        <f>IF(Q55="","",MAX(Q55-R55,0))</f>
        <v/>
      </c>
      <c r="T55" s="3">
        <f>IF(Q55="","",MIN(R55/Q55,1))</f>
        <v/>
      </c>
      <c r="U55" t="inlineStr">
        <is>
          <t>Kuzco; Yzma</t>
        </is>
      </c>
      <c r="V55" t="inlineStr"/>
      <c r="W55" t="inlineStr">
        <is>
          <t>evidenced</t>
        </is>
      </c>
      <c r="X55" t="inlineStr">
        <is>
          <t>Low</t>
        </is>
      </c>
      <c r="Y55" t="inlineStr">
        <is>
          <t>https://disneypinsblog.com/disneyland-paris-april-2025-pin-releases/</t>
        </is>
      </c>
      <c r="Z55" t="inlineStr">
        <is>
          <t>secondary</t>
        </is>
      </c>
      <c r="AA55" t="inlineStr">
        <is>
          <t>https://mypincentral.com/blog_post/pin-releases-disneyland-paris-disneyland-paris-flyer-for-april-2025</t>
        </is>
      </c>
      <c r="AB55" t="n">
        <v>4</v>
      </c>
      <c r="AC55" t="inlineStr"/>
      <c r="AD55" t="inlineStr"/>
      <c r="AE55" t="inlineStr"/>
      <c r="AF55" t="inlineStr"/>
      <c r="AG55" t="inlineStr">
        <is>
          <t>dlp/2025/yzma-kuzco-le-700</t>
        </is>
      </c>
    </row>
    <row r="56">
      <c r="A56" t="inlineStr">
        <is>
          <t>PHS-0055</t>
        </is>
      </c>
      <c r="B56" t="inlineStr">
        <is>
          <t>Alice's Curious Labyrinth Chip 'n' Dale pins</t>
        </is>
      </c>
      <c r="C56" t="inlineStr">
        <is>
          <t>Disneyland Paris</t>
        </is>
      </c>
      <c r="D56" t="inlineStr"/>
      <c r="E56" t="inlineStr">
        <is>
          <t>2025-04-12</t>
        </is>
      </c>
      <c r="F56" t="n">
        <v>2025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</v>
      </c>
      <c r="S56">
        <f>IF(Q56="","",MAX(Q56-R56,0))</f>
        <v/>
      </c>
      <c r="T56" s="3">
        <f>IF(Q56="","",MIN(R56/Q56,1))</f>
        <v/>
      </c>
      <c r="U56" t="inlineStr">
        <is>
          <t>Chip; Dale</t>
        </is>
      </c>
      <c r="V56" t="inlineStr"/>
      <c r="W56" t="inlineStr">
        <is>
          <t>evidenced</t>
        </is>
      </c>
      <c r="X56" t="inlineStr">
        <is>
          <t>Low</t>
        </is>
      </c>
      <c r="Y56" t="inlineStr">
        <is>
          <t>https://disneypinsblog.com/blogs/news/disneyland-paris-april-2025-pin-releases</t>
        </is>
      </c>
      <c r="Z56" t="inlineStr">
        <is>
          <t>secondary</t>
        </is>
      </c>
      <c r="AA56" t="inlineStr">
        <is>
          <t>https://mypincentral.com/blog_post/pin-releases-disneyland-paris-disneyland-paris-flyer-for-april-2025</t>
        </is>
      </c>
      <c r="AB56" t="n">
        <v>3</v>
      </c>
      <c r="AC56" t="inlineStr"/>
      <c r="AD56" t="inlineStr"/>
      <c r="AE56" t="inlineStr"/>
      <c r="AF56" t="inlineStr"/>
      <c r="AG56" t="inlineStr">
        <is>
          <t>dlp/2025/alice-curious-labyrinth-chip-dale-2025-04-12</t>
        </is>
      </c>
    </row>
    <row r="57">
      <c r="A57" t="inlineStr">
        <is>
          <t>PHS-0056</t>
        </is>
      </c>
      <c r="B57" t="inlineStr">
        <is>
          <t>Disneyland Paris 33rd anniversary limited edition pins</t>
        </is>
      </c>
      <c r="C57" t="inlineStr">
        <is>
          <t>Disneyland Paris</t>
        </is>
      </c>
      <c r="D57" t="inlineStr"/>
      <c r="E57" t="inlineStr">
        <is>
          <t>2025-04-12</t>
        </is>
      </c>
      <c r="F57" t="n">
        <v>2025</v>
      </c>
      <c r="G57" t="inlineStr"/>
      <c r="H57" t="inlineStr"/>
      <c r="I57" t="inlineStr"/>
      <c r="J57" t="inlineStr"/>
      <c r="K57" t="inlineStr"/>
      <c r="L57" t="inlineStr">
        <is>
          <t>limited edition</t>
        </is>
      </c>
      <c r="M57" t="inlineStr"/>
      <c r="N57" t="n">
        <v>18</v>
      </c>
      <c r="O57" t="inlineStr">
        <is>
          <t>EUR</t>
        </is>
      </c>
      <c r="P57" t="inlineStr"/>
      <c r="Q57" t="n">
        <v>6</v>
      </c>
      <c r="R57" t="n">
        <v>6</v>
      </c>
      <c r="S57">
        <f>IF(Q57="","",MAX(Q57-R57,0))</f>
        <v/>
      </c>
      <c r="T57" s="3">
        <f>IF(Q57="","",MIN(R57/Q57,1))</f>
        <v/>
      </c>
      <c r="U57" t="inlineStr">
        <is>
          <t>Aurora; Big Thunder Mountain – Disneyland Paris 33rd anniversary limited edition pins; it's a small world – Disneyland Paris 33rd anniversary limited edition pins; Maleficent; Owl; Phantom Manor – Disneyland Paris 33rd anniversary limited edition pins</t>
        </is>
      </c>
      <c r="V57" t="inlineStr"/>
      <c r="W57" t="inlineStr">
        <is>
          <t>evidenced</t>
        </is>
      </c>
      <c r="X57" t="inlineStr">
        <is>
          <t>Low</t>
        </is>
      </c>
      <c r="Y57" t="inlineStr">
        <is>
          <t>https://mypincentral.com/blog_post/pin-releases-disneyland-paris-disneyland-paris-flyer-for-april-2025</t>
        </is>
      </c>
      <c r="Z57" t="inlineStr">
        <is>
          <t>secondary</t>
        </is>
      </c>
      <c r="AA57" t="inlineStr">
        <is>
          <t>https://www.mousesteps.com/2025/03/31/disneyland-paris-reveals-april-2025-pin-releases/</t>
        </is>
      </c>
      <c r="AB57" t="n">
        <v>2</v>
      </c>
      <c r="AC57" t="inlineStr"/>
      <c r="AD57" t="inlineStr"/>
      <c r="AE57" t="inlineStr"/>
      <c r="AF57" t="inlineStr"/>
      <c r="AG57" t="inlineStr">
        <is>
          <t>dlp/2025/resort-33rd-anniversary-le-2025-04-12</t>
        </is>
      </c>
    </row>
    <row r="58">
      <c r="A58" t="inlineStr">
        <is>
          <t>PHS-0057</t>
        </is>
      </c>
      <c r="B58" t="inlineStr">
        <is>
          <t>Easter Huey, Dewey &amp; Louie limited edition pin</t>
        </is>
      </c>
      <c r="C58" t="inlineStr">
        <is>
          <t>Disneyland Paris</t>
        </is>
      </c>
      <c r="D58" t="inlineStr"/>
      <c r="E58" t="inlineStr">
        <is>
          <t>2025-04-19</t>
        </is>
      </c>
      <c r="F58" t="n">
        <v>2025</v>
      </c>
      <c r="G58" t="inlineStr"/>
      <c r="H58" t="inlineStr"/>
      <c r="I58" t="inlineStr"/>
      <c r="J58" t="inlineStr"/>
      <c r="K58" t="inlineStr"/>
      <c r="L58" t="inlineStr">
        <is>
          <t>limited edition</t>
        </is>
      </c>
      <c r="M58" t="n">
        <v>700</v>
      </c>
      <c r="N58" t="inlineStr"/>
      <c r="O58" t="inlineStr"/>
      <c r="P58" t="inlineStr"/>
      <c r="Q58" t="inlineStr"/>
      <c r="R58" t="n">
        <v>1</v>
      </c>
      <c r="S58">
        <f>IF(Q58="","",MAX(Q58-R58,0))</f>
        <v/>
      </c>
      <c r="T58" s="3">
        <f>IF(Q58="","",MIN(R58/Q58,1))</f>
        <v/>
      </c>
      <c r="U58" t="inlineStr">
        <is>
          <t>Dewey; Huey; Louie</t>
        </is>
      </c>
      <c r="V58" t="inlineStr"/>
      <c r="W58" t="inlineStr">
        <is>
          <t>evidenced</t>
        </is>
      </c>
      <c r="X58" t="inlineStr">
        <is>
          <t>Low</t>
        </is>
      </c>
      <c r="Y58" t="inlineStr">
        <is>
          <t>https://mypincentral.com/blog_post/pin-releases-disneyland-paris-disneyland-paris-flyer-for-april-2025</t>
        </is>
      </c>
      <c r="Z58" t="inlineStr">
        <is>
          <t>secondary</t>
        </is>
      </c>
      <c r="AA58" t="inlineStr">
        <is>
          <t>https://pixiedustdlp.com/2025/03/31/disneyland-paris-pin-trading-april-2025/</t>
        </is>
      </c>
      <c r="AB58" t="n">
        <v>2</v>
      </c>
      <c r="AC58" t="inlineStr"/>
      <c r="AD58" t="inlineStr"/>
      <c r="AE58" t="inlineStr"/>
      <c r="AF58" t="inlineStr"/>
      <c r="AG58" t="inlineStr">
        <is>
          <t>dlp/2025/easter-huey-dewey-louie-le-2025-04-19</t>
        </is>
      </c>
    </row>
    <row r="59">
      <c r="A59" t="inlineStr">
        <is>
          <t>PHS-0058</t>
        </is>
      </c>
      <c r="B59" t="inlineStr">
        <is>
          <t>Nala &amp; Simba limited edition pin</t>
        </is>
      </c>
      <c r="C59" t="inlineStr">
        <is>
          <t>Disneyland Paris</t>
        </is>
      </c>
      <c r="D59" t="inlineStr"/>
      <c r="E59" t="inlineStr">
        <is>
          <t>2025-04-19</t>
        </is>
      </c>
      <c r="F59" t="n">
        <v>2025</v>
      </c>
      <c r="G59" t="inlineStr"/>
      <c r="H59" t="inlineStr"/>
      <c r="I59" t="inlineStr"/>
      <c r="J59" t="inlineStr"/>
      <c r="K59" t="inlineStr"/>
      <c r="L59" t="inlineStr">
        <is>
          <t>limited edition</t>
        </is>
      </c>
      <c r="M59" t="inlineStr"/>
      <c r="N59" t="inlineStr"/>
      <c r="O59" t="inlineStr"/>
      <c r="P59" t="inlineStr"/>
      <c r="Q59" t="inlineStr"/>
      <c r="R59" t="n">
        <v>1</v>
      </c>
      <c r="S59">
        <f>IF(Q59="","",MAX(Q59-R59,0))</f>
        <v/>
      </c>
      <c r="T59" s="3">
        <f>IF(Q59="","",MIN(R59/Q59,1))</f>
        <v/>
      </c>
      <c r="U59" t="inlineStr">
        <is>
          <t>Nala; Simba</t>
        </is>
      </c>
      <c r="V59" t="inlineStr"/>
      <c r="W59" t="inlineStr">
        <is>
          <t>evidenced</t>
        </is>
      </c>
      <c r="X59" t="inlineStr">
        <is>
          <t>Low</t>
        </is>
      </c>
      <c r="Y59" t="inlineStr">
        <is>
          <t>https://mypincentral.com/blog_post/pin-releases-disneyland-paris-disneyland-paris-flyer-for-april-2025</t>
        </is>
      </c>
      <c r="Z59" t="inlineStr">
        <is>
          <t>secondary</t>
        </is>
      </c>
      <c r="AA59" t="inlineStr">
        <is>
          <t>https://pixiedustdlp.com/2025/03/31/disneyland-paris-pin-trading-april-2025/</t>
        </is>
      </c>
      <c r="AB59" t="n">
        <v>2</v>
      </c>
      <c r="AC59" t="inlineStr"/>
      <c r="AD59" t="inlineStr"/>
      <c r="AE59" t="inlineStr"/>
      <c r="AF59" t="inlineStr"/>
      <c r="AG59" t="inlineStr">
        <is>
          <t>dlp/2025/nala-simba-le-2025-04-19</t>
        </is>
      </c>
    </row>
    <row r="60">
      <c r="A60" t="inlineStr">
        <is>
          <t>PHS-0059</t>
        </is>
      </c>
      <c r="B60" t="inlineStr">
        <is>
          <t>Pin Trading Time April 2025 refresher pin (John Darling)</t>
        </is>
      </c>
      <c r="C60" t="inlineStr">
        <is>
          <t>Disneyland Paris</t>
        </is>
      </c>
      <c r="D60" t="inlineStr"/>
      <c r="E60" t="inlineStr">
        <is>
          <t>2025-04-25</t>
        </is>
      </c>
      <c r="F60" t="n">
        <v>2025</v>
      </c>
      <c r="G60" t="inlineStr"/>
      <c r="H60" t="inlineStr"/>
      <c r="I60" t="inlineStr">
        <is>
          <t>event refresher pin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1</v>
      </c>
      <c r="S60">
        <f>IF(Q60="","",MAX(Q60-R60,0))</f>
        <v/>
      </c>
      <c r="T60" s="3">
        <f>IF(Q60="","",MIN(R60/Q60,1))</f>
        <v/>
      </c>
      <c r="U60" t="inlineStr">
        <is>
          <t>John Darling</t>
        </is>
      </c>
      <c r="V60" t="inlineStr"/>
      <c r="W60" t="inlineStr">
        <is>
          <t>evidenced</t>
        </is>
      </c>
      <c r="X60" t="inlineStr">
        <is>
          <t>Low</t>
        </is>
      </c>
      <c r="Y60" t="inlineStr">
        <is>
          <t>https://disneypinsblog.com/disneyland-paris-april-2025-pin-trading-time-event-pin-releases/</t>
        </is>
      </c>
      <c r="Z60" t="inlineStr">
        <is>
          <t>secondary</t>
        </is>
      </c>
      <c r="AA60" t="inlineStr"/>
      <c r="AB60" t="n">
        <v>1</v>
      </c>
      <c r="AC60" t="inlineStr"/>
      <c r="AD60" t="inlineStr"/>
      <c r="AE60" t="inlineStr"/>
      <c r="AF60" t="inlineStr"/>
      <c r="AG60" t="inlineStr">
        <is>
          <t>dlp/2025/pin-trading-time-2025-04-sequoia-refresher-john-darling</t>
        </is>
      </c>
    </row>
    <row r="61">
      <c r="A61" t="inlineStr">
        <is>
          <t>PHS-0060</t>
        </is>
      </c>
      <c r="B61" t="inlineStr">
        <is>
          <t>Berlioz &amp; Toulouse limited edition pin</t>
        </is>
      </c>
      <c r="C61" t="inlineStr">
        <is>
          <t>Disneyland Paris</t>
        </is>
      </c>
      <c r="D61" t="inlineStr"/>
      <c r="E61" t="inlineStr">
        <is>
          <t>2025-04-26</t>
        </is>
      </c>
      <c r="F61" t="n">
        <v>2025</v>
      </c>
      <c r="G61" t="inlineStr"/>
      <c r="H61" t="inlineStr"/>
      <c r="I61" t="inlineStr"/>
      <c r="J61" t="inlineStr"/>
      <c r="K61" t="inlineStr"/>
      <c r="L61" t="inlineStr">
        <is>
          <t>limited edition</t>
        </is>
      </c>
      <c r="M61" t="n">
        <v>700</v>
      </c>
      <c r="N61" t="inlineStr"/>
      <c r="O61" t="inlineStr"/>
      <c r="P61" t="inlineStr"/>
      <c r="Q61" t="inlineStr"/>
      <c r="R61" t="n">
        <v>1</v>
      </c>
      <c r="S61">
        <f>IF(Q61="","",MAX(Q61-R61,0))</f>
        <v/>
      </c>
      <c r="T61" s="3">
        <f>IF(Q61="","",MIN(R61/Q61,1))</f>
        <v/>
      </c>
      <c r="U61" t="inlineStr">
        <is>
          <t>Berlioz; Toulouse</t>
        </is>
      </c>
      <c r="V61" t="inlineStr"/>
      <c r="W61" t="inlineStr">
        <is>
          <t>evidenced</t>
        </is>
      </c>
      <c r="X61" t="inlineStr">
        <is>
          <t>Low</t>
        </is>
      </c>
      <c r="Y61" t="inlineStr">
        <is>
          <t>https://mypincentral.com/blog_post/pin-releases-disneyland-paris-disneyland-paris-flyer-for-april-2025</t>
        </is>
      </c>
      <c r="Z61" t="inlineStr">
        <is>
          <t>secondary</t>
        </is>
      </c>
      <c r="AA61" t="inlineStr"/>
      <c r="AB61" t="n">
        <v>1</v>
      </c>
      <c r="AC61" t="inlineStr"/>
      <c r="AD61" t="inlineStr"/>
      <c r="AE61" t="inlineStr"/>
      <c r="AF61" t="inlineStr"/>
      <c r="AG61" t="inlineStr">
        <is>
          <t>dlp/2025/berlioz-toulouse-le-2025-04-26</t>
        </is>
      </c>
    </row>
    <row r="62">
      <c r="A62" t="inlineStr">
        <is>
          <t>PHS-0061</t>
        </is>
      </c>
      <c r="B62" t="inlineStr">
        <is>
          <t>Stitch limited edition pin (April)</t>
        </is>
      </c>
      <c r="C62" t="inlineStr">
        <is>
          <t>Disneyland Paris</t>
        </is>
      </c>
      <c r="D62" t="inlineStr"/>
      <c r="E62" t="inlineStr">
        <is>
          <t>2025-04-26</t>
        </is>
      </c>
      <c r="F62" t="n">
        <v>2025</v>
      </c>
      <c r="G62" t="inlineStr"/>
      <c r="H62" t="inlineStr"/>
      <c r="I62" t="inlineStr"/>
      <c r="J62" t="inlineStr"/>
      <c r="K62" t="inlineStr"/>
      <c r="L62" t="inlineStr">
        <is>
          <t>limited edition</t>
        </is>
      </c>
      <c r="M62" t="inlineStr"/>
      <c r="N62" t="inlineStr"/>
      <c r="O62" t="inlineStr"/>
      <c r="P62" t="inlineStr"/>
      <c r="Q62" t="inlineStr"/>
      <c r="R62" t="n">
        <v>1</v>
      </c>
      <c r="S62">
        <f>IF(Q62="","",MAX(Q62-R62,0))</f>
        <v/>
      </c>
      <c r="T62" s="3">
        <f>IF(Q62="","",MIN(R62/Q62,1))</f>
        <v/>
      </c>
      <c r="U62" t="inlineStr">
        <is>
          <t>Stitch</t>
        </is>
      </c>
      <c r="V62" t="inlineStr"/>
      <c r="W62" t="inlineStr">
        <is>
          <t>evidenced</t>
        </is>
      </c>
      <c r="X62" t="inlineStr">
        <is>
          <t>Low</t>
        </is>
      </c>
      <c r="Y62" t="inlineStr">
        <is>
          <t>https://mypincentral.com/blog_post/pin-releases-disneyland-paris-disneyland-paris-flyer-for-april-2025</t>
        </is>
      </c>
      <c r="Z62" t="inlineStr">
        <is>
          <t>secondary</t>
        </is>
      </c>
      <c r="AA62" t="inlineStr"/>
      <c r="AB62" t="n">
        <v>1</v>
      </c>
      <c r="AC62" t="inlineStr"/>
      <c r="AD62" t="inlineStr"/>
      <c r="AE62" t="inlineStr"/>
      <c r="AF62" t="inlineStr"/>
      <c r="AG62" t="inlineStr">
        <is>
          <t>dlp/2025/stitch-le-2025-04-26</t>
        </is>
      </c>
    </row>
    <row r="63">
      <c r="A63" t="inlineStr">
        <is>
          <t>PHS-0062</t>
        </is>
      </c>
      <c r="B63" t="inlineStr">
        <is>
          <t>1 May muguet (lily of the valley) open edition pins</t>
        </is>
      </c>
      <c r="C63" t="inlineStr">
        <is>
          <t>Disneyland Paris</t>
        </is>
      </c>
      <c r="D63" t="inlineStr"/>
      <c r="E63" t="inlineStr">
        <is>
          <t>2025-05-01</t>
        </is>
      </c>
      <c r="F63" t="n">
        <v>2025</v>
      </c>
      <c r="G63" t="inlineStr"/>
      <c r="H63" t="inlineStr"/>
      <c r="I63" t="inlineStr"/>
      <c r="J63" t="inlineStr"/>
      <c r="K63" t="inlineStr"/>
      <c r="L63" t="inlineStr">
        <is>
          <t>open edition</t>
        </is>
      </c>
      <c r="M63" t="inlineStr"/>
      <c r="N63" t="inlineStr"/>
      <c r="O63" t="inlineStr"/>
      <c r="P63" t="inlineStr"/>
      <c r="Q63" t="inlineStr"/>
      <c r="R63" t="n">
        <v>5</v>
      </c>
      <c r="S63">
        <f>IF(Q63="","",MAX(Q63-R63,0))</f>
        <v/>
      </c>
      <c r="T63" s="3">
        <f>IF(Q63="","",MIN(R63/Q63,1))</f>
        <v/>
      </c>
      <c r="U63" t="inlineStr">
        <is>
          <t>Chip; Chip 'n Dale; Dale; Eeyore; Mushu; Thumper; Tinker Bell</t>
        </is>
      </c>
      <c r="V63" t="inlineStr"/>
      <c r="W63" t="inlineStr">
        <is>
          <t>evidenced</t>
        </is>
      </c>
      <c r="X63" t="inlineStr">
        <is>
          <t>Low</t>
        </is>
      </c>
      <c r="Y63" t="inlineStr">
        <is>
          <t>https://disneymouseketeer.com/disneyland-paris-may-2025-pins-preview-sheet-schedule/</t>
        </is>
      </c>
      <c r="Z63" t="inlineStr">
        <is>
          <t>secondary</t>
        </is>
      </c>
      <c r="AA63" t="inlineStr">
        <is>
          <t>https://www.mousesteps.com/2025/05/01/disneyland-paris-pin-releases-for-may-2025-revealed/</t>
        </is>
      </c>
      <c r="AB63" t="n">
        <v>2</v>
      </c>
      <c r="AC63" t="inlineStr"/>
      <c r="AD63" t="inlineStr"/>
      <c r="AE63" t="inlineStr"/>
      <c r="AF63" t="inlineStr"/>
      <c r="AG63" t="inlineStr">
        <is>
          <t>dlp/2025/may-1-muguet-oe-2025-05-01</t>
        </is>
      </c>
    </row>
    <row r="64">
      <c r="A64" t="inlineStr">
        <is>
          <t>PHS-0063</t>
        </is>
      </c>
      <c r="B64" t="inlineStr">
        <is>
          <t>Disney Music Festival pins (May)</t>
        </is>
      </c>
      <c r="C64" t="inlineStr">
        <is>
          <t>Disneyland Paris</t>
        </is>
      </c>
      <c r="D64" t="inlineStr"/>
      <c r="E64" t="inlineStr">
        <is>
          <t>2025-05-03</t>
        </is>
      </c>
      <c r="F64" t="n">
        <v>2025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3</v>
      </c>
      <c r="S64">
        <f>IF(Q64="","",MAX(Q64-R64,0))</f>
        <v/>
      </c>
      <c r="T64" s="3">
        <f>IF(Q64="","",MIN(R64/Q64,1))</f>
        <v/>
      </c>
      <c r="U64" t="inlineStr">
        <is>
          <t>Chip; Dale; Mickey Mouse; Stitch</t>
        </is>
      </c>
      <c r="V64" t="inlineStr"/>
      <c r="W64" t="inlineStr">
        <is>
          <t>evidenced</t>
        </is>
      </c>
      <c r="X64" t="inlineStr">
        <is>
          <t>Low</t>
        </is>
      </c>
      <c r="Y64" t="inlineStr">
        <is>
          <t>https://disneymouseketeer.com/disneyland-paris-may-2025-pins-preview-sheet-schedule/</t>
        </is>
      </c>
      <c r="Z64" t="inlineStr">
        <is>
          <t>secondary</t>
        </is>
      </c>
      <c r="AA64" t="inlineStr">
        <is>
          <t>https://disneypinsblog.com/disneyland-paris-may-2025-pin-releases/</t>
        </is>
      </c>
      <c r="AB64" t="n">
        <v>3</v>
      </c>
      <c r="AC64" t="inlineStr"/>
      <c r="AD64" t="inlineStr"/>
      <c r="AE64" t="inlineStr"/>
      <c r="AF64" t="inlineStr"/>
      <c r="AG64" t="inlineStr">
        <is>
          <t>dlp/2025/disney-music-festival-2025-05-03</t>
        </is>
      </c>
    </row>
    <row r="65">
      <c r="A65" t="inlineStr">
        <is>
          <t>PHS-0064</t>
        </is>
      </c>
      <c r="B65" t="inlineStr">
        <is>
          <t>Tinker Bell limited edition pin</t>
        </is>
      </c>
      <c r="C65" t="inlineStr">
        <is>
          <t>Disneyland Paris</t>
        </is>
      </c>
      <c r="D65" t="inlineStr"/>
      <c r="E65" t="inlineStr">
        <is>
          <t>2025-05-10</t>
        </is>
      </c>
      <c r="F65" t="n">
        <v>2025</v>
      </c>
      <c r="G65" t="inlineStr"/>
      <c r="H65" t="inlineStr"/>
      <c r="I65" t="inlineStr"/>
      <c r="J65" t="inlineStr"/>
      <c r="K65" t="inlineStr"/>
      <c r="L65" t="inlineStr">
        <is>
          <t>limited edition</t>
        </is>
      </c>
      <c r="M65" t="inlineStr"/>
      <c r="N65" t="inlineStr"/>
      <c r="O65" t="inlineStr"/>
      <c r="P65" t="inlineStr"/>
      <c r="Q65" t="inlineStr"/>
      <c r="R65" t="n">
        <v>1</v>
      </c>
      <c r="S65">
        <f>IF(Q65="","",MAX(Q65-R65,0))</f>
        <v/>
      </c>
      <c r="T65" s="3">
        <f>IF(Q65="","",MIN(R65/Q65,1))</f>
        <v/>
      </c>
      <c r="U65" t="inlineStr">
        <is>
          <t>Tinker Bell</t>
        </is>
      </c>
      <c r="V65" t="inlineStr"/>
      <c r="W65" t="inlineStr">
        <is>
          <t>evidenced</t>
        </is>
      </c>
      <c r="X65" t="inlineStr">
        <is>
          <t>Low</t>
        </is>
      </c>
      <c r="Y65" t="inlineStr">
        <is>
          <t>https://disneypinsblog.com/blogs/news/disneyland-paris-may-2025-pin-releases</t>
        </is>
      </c>
      <c r="Z65" t="inlineStr">
        <is>
          <t>secondary</t>
        </is>
      </c>
      <c r="AA65" t="inlineStr">
        <is>
          <t>https://www.mousesteps.com/2025/05/01/disneyland-paris-pin-releases-for-may-2025-revealed/</t>
        </is>
      </c>
      <c r="AB65" t="n">
        <v>2</v>
      </c>
      <c r="AC65" t="inlineStr"/>
      <c r="AD65" t="inlineStr"/>
      <c r="AE65" t="inlineStr"/>
      <c r="AF65" t="inlineStr"/>
      <c r="AG65" t="inlineStr">
        <is>
          <t>dlp/2025/tinker-bell-le-2025-05-10</t>
        </is>
      </c>
    </row>
    <row r="66">
      <c r="A66" t="inlineStr">
        <is>
          <t>PHS-0065</t>
        </is>
      </c>
      <c r="B66" t="inlineStr">
        <is>
          <t>Winnie the Pooh limited edition pin (May)</t>
        </is>
      </c>
      <c r="C66" t="inlineStr">
        <is>
          <t>Disneyland Paris</t>
        </is>
      </c>
      <c r="D66" t="inlineStr"/>
      <c r="E66" t="inlineStr">
        <is>
          <t>2025-05-10</t>
        </is>
      </c>
      <c r="F66" t="n">
        <v>2025</v>
      </c>
      <c r="G66" t="inlineStr"/>
      <c r="H66" t="inlineStr"/>
      <c r="I66" t="inlineStr"/>
      <c r="J66" t="inlineStr"/>
      <c r="K66" t="inlineStr"/>
      <c r="L66" t="inlineStr">
        <is>
          <t>limited edition</t>
        </is>
      </c>
      <c r="M66" t="inlineStr"/>
      <c r="N66" t="inlineStr"/>
      <c r="O66" t="inlineStr"/>
      <c r="P66" t="inlineStr"/>
      <c r="Q66" t="inlineStr"/>
      <c r="R66" t="n">
        <v>1</v>
      </c>
      <c r="S66">
        <f>IF(Q66="","",MAX(Q66-R66,0))</f>
        <v/>
      </c>
      <c r="T66" s="3">
        <f>IF(Q66="","",MIN(R66/Q66,1))</f>
        <v/>
      </c>
      <c r="U66" t="inlineStr">
        <is>
          <t>Winnie the Pooh</t>
        </is>
      </c>
      <c r="V66" t="inlineStr"/>
      <c r="W66" t="inlineStr">
        <is>
          <t>evidenced</t>
        </is>
      </c>
      <c r="X66" t="inlineStr">
        <is>
          <t>Low</t>
        </is>
      </c>
      <c r="Y66" t="inlineStr">
        <is>
          <t>https://disneypinsblog.com/blogs/news/disneyland-paris-may-2025-pin-releases</t>
        </is>
      </c>
      <c r="Z66" t="inlineStr">
        <is>
          <t>secondary</t>
        </is>
      </c>
      <c r="AA66" t="inlineStr">
        <is>
          <t>https://www.mousesteps.com/2025/05/01/disneyland-paris-pin-releases-for-may-2025-revealed/</t>
        </is>
      </c>
      <c r="AB66" t="n">
        <v>2</v>
      </c>
      <c r="AC66" t="inlineStr"/>
      <c r="AD66" t="inlineStr"/>
      <c r="AE66" t="inlineStr"/>
      <c r="AF66" t="inlineStr"/>
      <c r="AG66" t="inlineStr">
        <is>
          <t>dlp/2025/winnie-the-pooh-le-2025-05-10</t>
        </is>
      </c>
    </row>
    <row r="67">
      <c r="A67" t="inlineStr">
        <is>
          <t>PHS-0066</t>
        </is>
      </c>
      <c r="B67" t="inlineStr">
        <is>
          <t>Cruella limited edition pin (May)</t>
        </is>
      </c>
      <c r="C67" t="inlineStr">
        <is>
          <t>Disneyland Paris</t>
        </is>
      </c>
      <c r="D67" t="inlineStr"/>
      <c r="E67" t="inlineStr">
        <is>
          <t>2025-05-24</t>
        </is>
      </c>
      <c r="F67" t="n">
        <v>2025</v>
      </c>
      <c r="G67" t="inlineStr"/>
      <c r="H67" t="inlineStr"/>
      <c r="I67" t="inlineStr"/>
      <c r="J67" t="inlineStr"/>
      <c r="K67" t="inlineStr"/>
      <c r="L67" t="inlineStr">
        <is>
          <t>limited edition</t>
        </is>
      </c>
      <c r="M67" t="inlineStr"/>
      <c r="N67" t="inlineStr"/>
      <c r="O67" t="inlineStr"/>
      <c r="P67" t="inlineStr"/>
      <c r="Q67" t="inlineStr"/>
      <c r="R67" t="n">
        <v>1</v>
      </c>
      <c r="S67">
        <f>IF(Q67="","",MAX(Q67-R67,0))</f>
        <v/>
      </c>
      <c r="T67" s="3">
        <f>IF(Q67="","",MIN(R67/Q67,1))</f>
        <v/>
      </c>
      <c r="U67" t="inlineStr">
        <is>
          <t>Cruella de Vil; Roger</t>
        </is>
      </c>
      <c r="V67" t="inlineStr"/>
      <c r="W67" t="inlineStr">
        <is>
          <t>evidenced</t>
        </is>
      </c>
      <c r="X67" t="inlineStr">
        <is>
          <t>Low</t>
        </is>
      </c>
      <c r="Y67" t="inlineStr">
        <is>
          <t>https://disneymouseketeer.com/disneyland-paris-may-2025-pins-preview-sheet-schedule/</t>
        </is>
      </c>
      <c r="Z67" t="inlineStr">
        <is>
          <t>secondary</t>
        </is>
      </c>
      <c r="AA67" t="inlineStr">
        <is>
          <t>https://www.mousesteps.com/2025/05/01/disneyland-paris-pin-releases-for-may-2025-revealed/</t>
        </is>
      </c>
      <c r="AB67" t="n">
        <v>2</v>
      </c>
      <c r="AC67" t="inlineStr"/>
      <c r="AD67" t="inlineStr"/>
      <c r="AE67" t="inlineStr"/>
      <c r="AF67" t="inlineStr"/>
      <c r="AG67" t="inlineStr">
        <is>
          <t>dlp/2025/cruella-le-2025-05-24</t>
        </is>
      </c>
    </row>
    <row r="68">
      <c r="A68" t="inlineStr">
        <is>
          <t>PHS-0067</t>
        </is>
      </c>
      <c r="B68" t="inlineStr">
        <is>
          <t>Mrs. Potts and Chip limited edition pin</t>
        </is>
      </c>
      <c r="C68" t="inlineStr">
        <is>
          <t>Disneyland Paris</t>
        </is>
      </c>
      <c r="D68" t="inlineStr"/>
      <c r="E68" t="inlineStr">
        <is>
          <t>2025-05-25</t>
        </is>
      </c>
      <c r="F68" t="n">
        <v>2025</v>
      </c>
      <c r="G68" t="inlineStr"/>
      <c r="H68" t="inlineStr"/>
      <c r="I68" t="inlineStr"/>
      <c r="J68" t="inlineStr"/>
      <c r="K68" t="inlineStr"/>
      <c r="L68" t="inlineStr">
        <is>
          <t>limited edition</t>
        </is>
      </c>
      <c r="M68" t="inlineStr"/>
      <c r="N68" t="inlineStr"/>
      <c r="O68" t="inlineStr"/>
      <c r="P68" t="inlineStr"/>
      <c r="Q68" t="inlineStr"/>
      <c r="R68" t="n">
        <v>1</v>
      </c>
      <c r="S68">
        <f>IF(Q68="","",MAX(Q68-R68,0))</f>
        <v/>
      </c>
      <c r="T68" s="3">
        <f>IF(Q68="","",MIN(R68/Q68,1))</f>
        <v/>
      </c>
      <c r="U68" t="inlineStr">
        <is>
          <t>Chip; Mrs. Potts</t>
        </is>
      </c>
      <c r="V68" t="inlineStr"/>
      <c r="W68" t="inlineStr">
        <is>
          <t>evidenced</t>
        </is>
      </c>
      <c r="X68" t="inlineStr">
        <is>
          <t>Low</t>
        </is>
      </c>
      <c r="Y68" t="inlineStr">
        <is>
          <t>https://www.mousesteps.com/2025/05/01/disneyland-paris-pin-releases-for-may-2025-revealed/</t>
        </is>
      </c>
      <c r="Z68" t="inlineStr">
        <is>
          <t>secondary</t>
        </is>
      </c>
      <c r="AA68" t="inlineStr"/>
      <c r="AB68" t="n">
        <v>1</v>
      </c>
      <c r="AC68" t="inlineStr"/>
      <c r="AD68" t="inlineStr"/>
      <c r="AE68" t="inlineStr"/>
      <c r="AF68" t="inlineStr"/>
      <c r="AG68" t="inlineStr">
        <is>
          <t>dlp/2025/mrs-potts-chip-le-2025-05-25</t>
        </is>
      </c>
    </row>
    <row r="69">
      <c r="A69" t="inlineStr">
        <is>
          <t>PHS-0068</t>
        </is>
      </c>
      <c r="B69" t="inlineStr">
        <is>
          <t>Angel with Stitch limited edition pin</t>
        </is>
      </c>
      <c r="C69" t="inlineStr">
        <is>
          <t>Disneyland Paris</t>
        </is>
      </c>
      <c r="D69" t="inlineStr"/>
      <c r="E69" t="inlineStr">
        <is>
          <t>2025-05-31</t>
        </is>
      </c>
      <c r="F69" t="n">
        <v>2025</v>
      </c>
      <c r="G69" t="inlineStr"/>
      <c r="H69" t="inlineStr"/>
      <c r="I69" t="inlineStr"/>
      <c r="J69" t="inlineStr"/>
      <c r="K69" t="inlineStr"/>
      <c r="L69" t="inlineStr">
        <is>
          <t>limited edition</t>
        </is>
      </c>
      <c r="M69" t="inlineStr"/>
      <c r="N69" t="inlineStr"/>
      <c r="O69" t="inlineStr"/>
      <c r="P69" t="inlineStr"/>
      <c r="Q69" t="inlineStr"/>
      <c r="R69" t="n">
        <v>1</v>
      </c>
      <c r="S69">
        <f>IF(Q69="","",MAX(Q69-R69,0))</f>
        <v/>
      </c>
      <c r="T69" s="3">
        <f>IF(Q69="","",MIN(R69/Q69,1))</f>
        <v/>
      </c>
      <c r="U69" t="inlineStr">
        <is>
          <t>Angel; Stitch</t>
        </is>
      </c>
      <c r="V69" t="inlineStr"/>
      <c r="W69" t="inlineStr">
        <is>
          <t>evidenced</t>
        </is>
      </c>
      <c r="X69" t="inlineStr">
        <is>
          <t>Low</t>
        </is>
      </c>
      <c r="Y69" t="inlineStr">
        <is>
          <t>https://disneymouseketeer.com/disneyland-paris-may-2025-pins-preview-sheet-schedule/</t>
        </is>
      </c>
      <c r="Z69" t="inlineStr">
        <is>
          <t>secondary</t>
        </is>
      </c>
      <c r="AA69" t="inlineStr">
        <is>
          <t>https://www.mousesteps.com/2025/05/01/disneyland-paris-pin-releases-for-may-2025-revealed/</t>
        </is>
      </c>
      <c r="AB69" t="n">
        <v>2</v>
      </c>
      <c r="AC69" t="inlineStr"/>
      <c r="AD69" t="inlineStr"/>
      <c r="AE69" t="inlineStr"/>
      <c r="AF69" t="inlineStr"/>
      <c r="AG69" t="inlineStr">
        <is>
          <t>dlp/2025/angel-stitch-le-2025-05-31</t>
        </is>
      </c>
    </row>
    <row r="70">
      <c r="A70" t="inlineStr">
        <is>
          <t>PHS-0069</t>
        </is>
      </c>
      <c r="B70" t="inlineStr">
        <is>
          <t>Peter Pan's Flight attraction pins</t>
        </is>
      </c>
      <c r="C70" t="inlineStr">
        <is>
          <t>Disneyland Paris</t>
        </is>
      </c>
      <c r="D70" t="inlineStr"/>
      <c r="E70" t="inlineStr">
        <is>
          <t>2025-06-21</t>
        </is>
      </c>
      <c r="F70" t="n">
        <v>2025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3</v>
      </c>
      <c r="R70" t="n">
        <v>1</v>
      </c>
      <c r="S70">
        <f>IF(Q70="","",MAX(Q70-R70,0))</f>
        <v/>
      </c>
      <c r="T70" s="3">
        <f>IF(Q70="","",MIN(R70/Q70,1))</f>
        <v/>
      </c>
      <c r="U70" t="inlineStr">
        <is>
          <t>Peter Pan's Flight – Peter Pan's Flight attraction pins</t>
        </is>
      </c>
      <c r="V70" t="inlineStr"/>
      <c r="W70" t="inlineStr">
        <is>
          <t>evidenced</t>
        </is>
      </c>
      <c r="X70" t="inlineStr">
        <is>
          <t>Low</t>
        </is>
      </c>
      <c r="Y70" t="inlineStr">
        <is>
          <t>http://pixiedustdlp.com/2025/06/12/disneyland-paris-pin-trading-june-2025/</t>
        </is>
      </c>
      <c r="Z70" t="inlineStr">
        <is>
          <t>secondary</t>
        </is>
      </c>
      <c r="AA70" t="inlineStr">
        <is>
          <t>https://www.mousesteps.com/2025/05/30/disneyland-paris-june-2025-pins-revealed-including-stitch-elio-and-peter-pans-flight/</t>
        </is>
      </c>
      <c r="AB70" t="n">
        <v>2</v>
      </c>
      <c r="AC70" t="inlineStr"/>
      <c r="AD70" t="inlineStr"/>
      <c r="AE70" t="inlineStr"/>
      <c r="AF70" t="inlineStr"/>
      <c r="AG70" t="inlineStr">
        <is>
          <t>dlp/2025/peter-pans-flight-2025-06-21</t>
        </is>
      </c>
    </row>
    <row r="71">
      <c r="A71" t="inlineStr">
        <is>
          <t>PHS-0070</t>
        </is>
      </c>
      <c r="B71" t="inlineStr">
        <is>
          <t>Stitch Day 2025 jumbo limited edition pin</t>
        </is>
      </c>
      <c r="C71" t="inlineStr">
        <is>
          <t>Disneyland Paris</t>
        </is>
      </c>
      <c r="D71" t="inlineStr"/>
      <c r="E71" t="inlineStr">
        <is>
          <t>2025-06-26</t>
        </is>
      </c>
      <c r="F71" t="n">
        <v>2025</v>
      </c>
      <c r="G71" t="inlineStr"/>
      <c r="H71" t="inlineStr"/>
      <c r="I71" t="inlineStr">
        <is>
          <t>jumbo pin</t>
        </is>
      </c>
      <c r="J71" t="inlineStr"/>
      <c r="K71" t="inlineStr"/>
      <c r="L71" t="inlineStr">
        <is>
          <t>limited edition</t>
        </is>
      </c>
      <c r="M71" t="n">
        <v>800</v>
      </c>
      <c r="N71" t="inlineStr"/>
      <c r="O71" t="inlineStr"/>
      <c r="P71" t="inlineStr"/>
      <c r="Q71" t="n">
        <v>1</v>
      </c>
      <c r="R71" t="n">
        <v>1</v>
      </c>
      <c r="S71">
        <f>IF(Q71="","",MAX(Q71-R71,0))</f>
        <v/>
      </c>
      <c r="T71" s="3">
        <f>IF(Q71="","",MIN(R71/Q71,1))</f>
        <v/>
      </c>
      <c r="U71" t="inlineStr">
        <is>
          <t>Stitch</t>
        </is>
      </c>
      <c r="V71" t="inlineStr"/>
      <c r="W71" t="inlineStr">
        <is>
          <t>evidenced</t>
        </is>
      </c>
      <c r="X71" t="inlineStr">
        <is>
          <t>Low</t>
        </is>
      </c>
      <c r="Y71" t="inlineStr">
        <is>
          <t>https://disneypinsblog.com/blogs/news/disneyland-paris-june-2025-pin-releases</t>
        </is>
      </c>
      <c r="Z71" t="inlineStr">
        <is>
          <t>secondary</t>
        </is>
      </c>
      <c r="AA71" t="inlineStr">
        <is>
          <t>https://www.mousesteps.com/2025/05/30/disneyland-paris-june-2025-pins-revealed-including-stitch-elio-and-peter-pans-flight/</t>
        </is>
      </c>
      <c r="AB71" t="n">
        <v>2</v>
      </c>
      <c r="AC71" t="inlineStr"/>
      <c r="AD71" t="inlineStr"/>
      <c r="AE71" t="inlineStr"/>
      <c r="AF71" t="inlineStr"/>
      <c r="AG71" t="inlineStr">
        <is>
          <t>dlp/2025/stitch-day-jumbo-le-800</t>
        </is>
      </c>
    </row>
    <row r="72">
      <c r="A72" t="inlineStr">
        <is>
          <t>PHS-0071</t>
        </is>
      </c>
      <c r="B72" t="inlineStr">
        <is>
          <t>Rafiki limited edition pin (July)</t>
        </is>
      </c>
      <c r="C72" t="inlineStr">
        <is>
          <t>Disneyland Paris</t>
        </is>
      </c>
      <c r="D72" t="inlineStr"/>
      <c r="E72" t="inlineStr">
        <is>
          <t>2025-07</t>
        </is>
      </c>
      <c r="F72" t="n">
        <v>2025</v>
      </c>
      <c r="G72" t="inlineStr"/>
      <c r="H72" t="inlineStr"/>
      <c r="I72" t="inlineStr"/>
      <c r="J72" t="inlineStr"/>
      <c r="K72" t="inlineStr"/>
      <c r="L72" t="inlineStr">
        <is>
          <t>limited edition</t>
        </is>
      </c>
      <c r="M72" t="inlineStr"/>
      <c r="N72" t="inlineStr"/>
      <c r="O72" t="inlineStr"/>
      <c r="P72" t="inlineStr"/>
      <c r="Q72" t="inlineStr"/>
      <c r="R72" t="n">
        <v>1</v>
      </c>
      <c r="S72">
        <f>IF(Q72="","",MAX(Q72-R72,0))</f>
        <v/>
      </c>
      <c r="T72" s="3">
        <f>IF(Q72="","",MIN(R72/Q72,1))</f>
        <v/>
      </c>
      <c r="U72" t="inlineStr">
        <is>
          <t>Rafiki</t>
        </is>
      </c>
      <c r="V72" t="inlineStr"/>
      <c r="W72" t="inlineStr">
        <is>
          <t>evidenced</t>
        </is>
      </c>
      <c r="X72" t="inlineStr">
        <is>
          <t>Low</t>
        </is>
      </c>
      <c r="Y72" t="inlineStr">
        <is>
          <t>https://pixiedustdlp.com/2025/06/30/disneyland-paris-pin-trading-july-2025/</t>
        </is>
      </c>
      <c r="Z72" t="inlineStr">
        <is>
          <t>secondary</t>
        </is>
      </c>
      <c r="AA72" t="inlineStr">
        <is>
          <t>https://www.mousesteps.com/2025/06/30/disneyland-paris-pins-for-july-2025-revealed-including-ratatouille-disney-music-festival/</t>
        </is>
      </c>
      <c r="AB72" t="n">
        <v>2</v>
      </c>
      <c r="AC72" t="inlineStr"/>
      <c r="AD72" t="inlineStr"/>
      <c r="AE72" t="inlineStr"/>
      <c r="AF72" t="inlineStr"/>
      <c r="AG72" t="inlineStr">
        <is>
          <t>dlp/2025/rafiki-le-2025-07</t>
        </is>
      </c>
    </row>
    <row r="73">
      <c r="A73" t="inlineStr">
        <is>
          <t>PHS-0072</t>
        </is>
      </c>
      <c r="B73" t="inlineStr">
        <is>
          <t>Disney Music Festival pins (Pueblo Trading Post exclusives)</t>
        </is>
      </c>
      <c r="C73" t="inlineStr">
        <is>
          <t>Disneyland Paris</t>
        </is>
      </c>
      <c r="D73" t="inlineStr"/>
      <c r="E73" t="inlineStr">
        <is>
          <t>2025-07-05</t>
        </is>
      </c>
      <c r="F73" t="n">
        <v>2025</v>
      </c>
      <c r="G73" t="inlineStr"/>
      <c r="H73" t="inlineStr"/>
      <c r="I73" t="inlineStr">
        <is>
          <t>park-exclusive open collection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n">
        <v>10</v>
      </c>
      <c r="R73" t="n">
        <v>8</v>
      </c>
      <c r="S73">
        <f>IF(Q73="","",MAX(Q73-R73,0))</f>
        <v/>
      </c>
      <c r="T73" s="3">
        <f>IF(Q73="","",MIN(R73/Q73,1))</f>
        <v/>
      </c>
      <c r="U73" t="inlineStr">
        <is>
          <t>Chip; Dale; Daisy Duck; Donald Duck; Disney Music Festival logo; Goofy; Mickey Mouse; Minnie Mouse; Moana; Stitch; Pumbaa; Timon</t>
        </is>
      </c>
      <c r="V73" t="inlineStr"/>
      <c r="W73" t="inlineStr">
        <is>
          <t>evidenced (held)</t>
        </is>
      </c>
      <c r="X73" t="inlineStr">
        <is>
          <t>Low</t>
        </is>
      </c>
      <c r="Y73" t="inlineStr">
        <is>
          <t>https://www.laughingplace.com/disney-parks/dlp-july-2025-pins/</t>
        </is>
      </c>
      <c r="Z73" t="inlineStr">
        <is>
          <t>secondary</t>
        </is>
      </c>
      <c r="AA73" t="inlineStr">
        <is>
          <t>https://www.mousesteps.com/2025/06/30/disneyland-paris-pins-for-july-2025-revealed-including-ratatouille-disney-music-festival/</t>
        </is>
      </c>
      <c r="AB73" t="n">
        <v>2</v>
      </c>
      <c r="AC73" t="inlineStr"/>
      <c r="AD73" t="inlineStr"/>
      <c r="AE73" t="inlineStr"/>
      <c r="AF73" t="inlineStr"/>
      <c r="AG73" t="inlineStr">
        <is>
          <t>dlp/2025/disney-music-festival-pueblo-2025-07-05</t>
        </is>
      </c>
    </row>
    <row r="74">
      <c r="A74" t="inlineStr">
        <is>
          <t>PHS-0073</t>
        </is>
      </c>
      <c r="B74" t="inlineStr">
        <is>
          <t>Goofy limited edition pin (July)</t>
        </is>
      </c>
      <c r="C74" t="inlineStr">
        <is>
          <t>Disneyland Paris</t>
        </is>
      </c>
      <c r="D74" t="inlineStr"/>
      <c r="E74" t="inlineStr">
        <is>
          <t>2025-07-12</t>
        </is>
      </c>
      <c r="F74" t="n">
        <v>2025</v>
      </c>
      <c r="G74" t="inlineStr"/>
      <c r="H74" t="inlineStr"/>
      <c r="I74" t="inlineStr"/>
      <c r="J74" t="inlineStr"/>
      <c r="K74" t="inlineStr"/>
      <c r="L74" t="inlineStr">
        <is>
          <t>limited edition</t>
        </is>
      </c>
      <c r="M74" t="inlineStr"/>
      <c r="N74" t="inlineStr"/>
      <c r="O74" t="inlineStr"/>
      <c r="P74" t="inlineStr"/>
      <c r="Q74" t="inlineStr"/>
      <c r="R74" t="n">
        <v>2</v>
      </c>
      <c r="S74">
        <f>IF(Q74="","",MAX(Q74-R74,0))</f>
        <v/>
      </c>
      <c r="T74" s="3">
        <f>IF(Q74="","",MIN(R74/Q74,1))</f>
        <v/>
      </c>
      <c r="U74" t="inlineStr">
        <is>
          <t>Goofy; Rafiki</t>
        </is>
      </c>
      <c r="V74" t="inlineStr"/>
      <c r="W74" t="inlineStr">
        <is>
          <t>evidenced (held)</t>
        </is>
      </c>
      <c r="X74" t="inlineStr">
        <is>
          <t>Low</t>
        </is>
      </c>
      <c r="Y74" t="inlineStr">
        <is>
          <t>https://pixiedustdlp.com/2025/06/30/disneyland-paris-pin-trading-july-2025/</t>
        </is>
      </c>
      <c r="Z74" t="inlineStr">
        <is>
          <t>secondary</t>
        </is>
      </c>
      <c r="AA74" t="inlineStr">
        <is>
          <t>https://www.mousesteps.com/2025/06/30/disneyland-paris-pins-for-july-2025-revealed-including-ratatouille-disney-music-festival/</t>
        </is>
      </c>
      <c r="AB74" t="n">
        <v>2</v>
      </c>
      <c r="AC74" t="inlineStr"/>
      <c r="AD74" t="inlineStr"/>
      <c r="AE74" t="inlineStr"/>
      <c r="AF74" t="inlineStr"/>
      <c r="AG74" t="inlineStr">
        <is>
          <t>dlp/2025/goofy-le-2025-07</t>
        </is>
      </c>
    </row>
    <row r="75">
      <c r="A75" t="inlineStr">
        <is>
          <t>PHS-0074</t>
        </is>
      </c>
      <c r="B75" t="inlineStr">
        <is>
          <t>Hunchback of Notre Dame Bastille Day limited edition pin</t>
        </is>
      </c>
      <c r="C75" t="inlineStr">
        <is>
          <t>Disneyland Paris</t>
        </is>
      </c>
      <c r="D75" t="inlineStr"/>
      <c r="E75" t="inlineStr">
        <is>
          <t>2025-07-14</t>
        </is>
      </c>
      <c r="F75" t="n">
        <v>2025</v>
      </c>
      <c r="G75" t="inlineStr"/>
      <c r="H75" t="inlineStr"/>
      <c r="I75" t="inlineStr"/>
      <c r="J75" t="inlineStr"/>
      <c r="K75" t="inlineStr"/>
      <c r="L75" t="inlineStr">
        <is>
          <t>limited edition</t>
        </is>
      </c>
      <c r="M75" t="inlineStr"/>
      <c r="N75" t="inlineStr"/>
      <c r="O75" t="inlineStr"/>
      <c r="P75" t="inlineStr"/>
      <c r="Q75" t="inlineStr"/>
      <c r="R75" t="n">
        <v>1</v>
      </c>
      <c r="S75">
        <f>IF(Q75="","",MAX(Q75-R75,0))</f>
        <v/>
      </c>
      <c r="T75" s="3">
        <f>IF(Q75="","",MIN(R75/Q75,1))</f>
        <v/>
      </c>
      <c r="U75" t="inlineStr">
        <is>
          <t>Quasimodo</t>
        </is>
      </c>
      <c r="V75" t="inlineStr"/>
      <c r="W75" t="inlineStr">
        <is>
          <t>evidenced</t>
        </is>
      </c>
      <c r="X75" t="inlineStr">
        <is>
          <t>Low</t>
        </is>
      </c>
      <c r="Y75" t="inlineStr">
        <is>
          <t>https://pixiedustdlp.com/2025/06/30/disneyland-paris-pin-trading-july-2025/</t>
        </is>
      </c>
      <c r="Z75" t="inlineStr">
        <is>
          <t>secondary</t>
        </is>
      </c>
      <c r="AA75" t="inlineStr">
        <is>
          <t>https://www.laughingplace.com/disney-parks/dlp-july-2025-pins/</t>
        </is>
      </c>
      <c r="AB75" t="n">
        <v>3</v>
      </c>
      <c r="AC75" t="inlineStr"/>
      <c r="AD75" t="inlineStr"/>
      <c r="AE75" t="inlineStr"/>
      <c r="AF75" t="inlineStr"/>
      <c r="AG75" t="inlineStr">
        <is>
          <t>dlp/2025/hunchback-bastille-day-le-2025-07-14</t>
        </is>
      </c>
    </row>
    <row r="76">
      <c r="A76" t="inlineStr">
        <is>
          <t>PHS-0075</t>
        </is>
      </c>
      <c r="B76" t="inlineStr">
        <is>
          <t>Ursula and Ariel limited edition pin</t>
        </is>
      </c>
      <c r="C76" t="inlineStr">
        <is>
          <t>Disneyland Paris</t>
        </is>
      </c>
      <c r="D76" t="inlineStr"/>
      <c r="E76" t="inlineStr">
        <is>
          <t>2025-07-14</t>
        </is>
      </c>
      <c r="F76" t="n">
        <v>2025</v>
      </c>
      <c r="G76" t="inlineStr"/>
      <c r="H76" t="inlineStr"/>
      <c r="I76" t="inlineStr"/>
      <c r="J76" t="inlineStr"/>
      <c r="K76" t="inlineStr"/>
      <c r="L76" t="inlineStr">
        <is>
          <t>limited edition</t>
        </is>
      </c>
      <c r="M76" t="inlineStr"/>
      <c r="N76" t="inlineStr"/>
      <c r="O76" t="inlineStr"/>
      <c r="P76" t="inlineStr"/>
      <c r="Q76" t="inlineStr"/>
      <c r="R76" t="n">
        <v>1</v>
      </c>
      <c r="S76">
        <f>IF(Q76="","",MAX(Q76-R76,0))</f>
        <v/>
      </c>
      <c r="T76" s="3">
        <f>IF(Q76="","",MIN(R76/Q76,1))</f>
        <v/>
      </c>
      <c r="U76" t="inlineStr">
        <is>
          <t>Ariel; Ursula</t>
        </is>
      </c>
      <c r="V76" t="inlineStr"/>
      <c r="W76" t="inlineStr">
        <is>
          <t>evidenced</t>
        </is>
      </c>
      <c r="X76" t="inlineStr">
        <is>
          <t>Low</t>
        </is>
      </c>
      <c r="Y76" t="inlineStr">
        <is>
          <t>https://www.laughingplace.com/disney-parks/dlp-july-2025-pins/</t>
        </is>
      </c>
      <c r="Z76" t="inlineStr">
        <is>
          <t>secondary</t>
        </is>
      </c>
      <c r="AA76" t="inlineStr">
        <is>
          <t>https://www.mousesteps.com/2025/06/30/disneyland-paris-pins-for-july-2025-revealed-including-ratatouille-disney-music-festival/</t>
        </is>
      </c>
      <c r="AB76" t="n">
        <v>2</v>
      </c>
      <c r="AC76" t="inlineStr"/>
      <c r="AD76" t="inlineStr"/>
      <c r="AE76" t="inlineStr"/>
      <c r="AF76" t="inlineStr"/>
      <c r="AG76" t="inlineStr">
        <is>
          <t>dlp/2025/ursula-ariel-le-2025-07-14</t>
        </is>
      </c>
    </row>
    <row r="77">
      <c r="A77" t="inlineStr">
        <is>
          <t>PHS-0076</t>
        </is>
      </c>
      <c r="B77" t="inlineStr">
        <is>
          <t>Up pin set</t>
        </is>
      </c>
      <c r="C77" t="inlineStr">
        <is>
          <t>Disneyland Paris</t>
        </is>
      </c>
      <c r="D77" t="inlineStr"/>
      <c r="E77" t="inlineStr">
        <is>
          <t>2025-07-19</t>
        </is>
      </c>
      <c r="F77" t="n">
        <v>2025</v>
      </c>
      <c r="G77" t="inlineStr"/>
      <c r="H77" t="inlineStr"/>
      <c r="I77" t="inlineStr">
        <is>
          <t>open edition pins plus one Lineberty LE pin</t>
        </is>
      </c>
      <c r="J77" t="inlineStr"/>
      <c r="K77" t="inlineStr"/>
      <c r="L77" t="inlineStr">
        <is>
          <t>open edition</t>
        </is>
      </c>
      <c r="M77" t="inlineStr"/>
      <c r="N77" t="inlineStr"/>
      <c r="O77" t="inlineStr"/>
      <c r="P77" t="inlineStr"/>
      <c r="Q77" t="inlineStr"/>
      <c r="R77" t="n">
        <v>5</v>
      </c>
      <c r="S77">
        <f>IF(Q77="","",MAX(Q77-R77,0))</f>
        <v/>
      </c>
      <c r="T77" s="3">
        <f>IF(Q77="","",MIN(R77/Q77,1))</f>
        <v/>
      </c>
      <c r="U77" t="inlineStr">
        <is>
          <t>Carl Fredricksen; Dug; Up house; My Adventure Book; Russell</t>
        </is>
      </c>
      <c r="V77" t="inlineStr"/>
      <c r="W77" t="inlineStr">
        <is>
          <t>evidenced</t>
        </is>
      </c>
      <c r="X77" t="inlineStr">
        <is>
          <t>Low</t>
        </is>
      </c>
      <c r="Y77" t="inlineStr">
        <is>
          <t>https://pixiedustdlp.com/2025/06/30/disneyland-paris-pin-trading-july-2025/</t>
        </is>
      </c>
      <c r="Z77" t="inlineStr">
        <is>
          <t>secondary</t>
        </is>
      </c>
      <c r="AA77" t="inlineStr">
        <is>
          <t>https://www.mousesteps.com/2025/06/30/disneyland-paris-pins-for-july-2025-revealed-including-ratatouille-disney-music-festival/</t>
        </is>
      </c>
      <c r="AB77" t="n">
        <v>2</v>
      </c>
      <c r="AC77" t="inlineStr"/>
      <c r="AD77" t="inlineStr"/>
      <c r="AE77" t="inlineStr"/>
      <c r="AF77" t="inlineStr"/>
      <c r="AG77" t="inlineStr">
        <is>
          <t>dlp/2025/up-2025-07-19</t>
        </is>
      </c>
    </row>
    <row r="78">
      <c r="A78" t="inlineStr">
        <is>
          <t>PHS-0077</t>
        </is>
      </c>
      <c r="B78" t="inlineStr">
        <is>
          <t>Pongo and Perdita limited edition pin</t>
        </is>
      </c>
      <c r="C78" t="inlineStr">
        <is>
          <t>Disneyland Paris</t>
        </is>
      </c>
      <c r="D78" t="inlineStr"/>
      <c r="E78" t="inlineStr">
        <is>
          <t>2025-07-26</t>
        </is>
      </c>
      <c r="F78" t="n">
        <v>2025</v>
      </c>
      <c r="G78" t="inlineStr"/>
      <c r="H78" t="inlineStr"/>
      <c r="I78" t="inlineStr"/>
      <c r="J78" t="inlineStr"/>
      <c r="K78" t="inlineStr"/>
      <c r="L78" t="inlineStr">
        <is>
          <t>limited edition</t>
        </is>
      </c>
      <c r="M78" t="inlineStr"/>
      <c r="N78" t="inlineStr"/>
      <c r="O78" t="inlineStr"/>
      <c r="P78" t="inlineStr"/>
      <c r="Q78" t="inlineStr"/>
      <c r="R78" t="n">
        <v>1</v>
      </c>
      <c r="S78">
        <f>IF(Q78="","",MAX(Q78-R78,0))</f>
        <v/>
      </c>
      <c r="T78" s="3">
        <f>IF(Q78="","",MIN(R78/Q78,1))</f>
        <v/>
      </c>
      <c r="U78" t="inlineStr">
        <is>
          <t>Perdita; Pongo</t>
        </is>
      </c>
      <c r="V78" t="inlineStr"/>
      <c r="W78" t="inlineStr">
        <is>
          <t>evidenced</t>
        </is>
      </c>
      <c r="X78" t="inlineStr">
        <is>
          <t>Low</t>
        </is>
      </c>
      <c r="Y78" t="inlineStr">
        <is>
          <t>https://pixiedustdlp.com/2025/06/30/disneyland-paris-pin-trading-july-2025/</t>
        </is>
      </c>
      <c r="Z78" t="inlineStr">
        <is>
          <t>secondary</t>
        </is>
      </c>
      <c r="AA78" t="inlineStr">
        <is>
          <t>https://www.mousesteps.com/2025/06/30/disneyland-paris-pins-for-july-2025-revealed-including-ratatouille-disney-music-festival/</t>
        </is>
      </c>
      <c r="AB78" t="n">
        <v>2</v>
      </c>
      <c r="AC78" t="inlineStr"/>
      <c r="AD78" t="inlineStr"/>
      <c r="AE78" t="inlineStr"/>
      <c r="AF78" t="inlineStr"/>
      <c r="AG78" t="inlineStr">
        <is>
          <t>dlp/2025/pongo-perdita-le-2025-07-26</t>
        </is>
      </c>
    </row>
    <row r="79">
      <c r="A79" t="inlineStr">
        <is>
          <t>PHS-0078</t>
        </is>
      </c>
      <c r="B79" t="inlineStr">
        <is>
          <t>Hades limited edition pin</t>
        </is>
      </c>
      <c r="C79" t="inlineStr">
        <is>
          <t>Disneyland Paris</t>
        </is>
      </c>
      <c r="D79" t="inlineStr"/>
      <c r="E79" t="inlineStr">
        <is>
          <t>2025-08</t>
        </is>
      </c>
      <c r="F79" t="n">
        <v>2025</v>
      </c>
      <c r="G79" t="inlineStr"/>
      <c r="H79" t="inlineStr"/>
      <c r="I79" t="inlineStr"/>
      <c r="J79" t="inlineStr"/>
      <c r="K79" t="inlineStr"/>
      <c r="L79" t="inlineStr">
        <is>
          <t>limited edition</t>
        </is>
      </c>
      <c r="M79" t="n">
        <v>700</v>
      </c>
      <c r="N79" t="inlineStr"/>
      <c r="O79" t="inlineStr"/>
      <c r="P79" t="inlineStr"/>
      <c r="Q79" t="inlineStr"/>
      <c r="R79" t="n">
        <v>1</v>
      </c>
      <c r="S79">
        <f>IF(Q79="","",MAX(Q79-R79,0))</f>
        <v/>
      </c>
      <c r="T79" s="3">
        <f>IF(Q79="","",MIN(R79/Q79,1))</f>
        <v/>
      </c>
      <c r="U79" t="inlineStr">
        <is>
          <t>Hades; Hercules</t>
        </is>
      </c>
      <c r="V79" t="inlineStr"/>
      <c r="W79" t="inlineStr">
        <is>
          <t>evidenced</t>
        </is>
      </c>
      <c r="X79" t="inlineStr">
        <is>
          <t>Low</t>
        </is>
      </c>
      <c r="Y79" t="inlineStr">
        <is>
          <t>https://disneymouseketeer.com/disneyland-paris-august-2025-pins-preview-sheet-schedule/</t>
        </is>
      </c>
      <c r="Z79" t="inlineStr">
        <is>
          <t>secondary</t>
        </is>
      </c>
      <c r="AA79" t="inlineStr">
        <is>
          <t>https://www.mousesteps.com/2025/07/29/disneyland-paris-pins-for-august-2025-revealed-including-picsou-magazine-theme/</t>
        </is>
      </c>
      <c r="AB79" t="n">
        <v>2</v>
      </c>
      <c r="AC79" t="inlineStr"/>
      <c r="AD79" t="inlineStr"/>
      <c r="AE79" t="inlineStr"/>
      <c r="AF79" t="inlineStr"/>
      <c r="AG79" t="inlineStr">
        <is>
          <t>dlp/2025/hades-le-700</t>
        </is>
      </c>
    </row>
    <row r="80">
      <c r="A80" t="inlineStr">
        <is>
          <t>PHS-0079</t>
        </is>
      </c>
      <c r="B80" t="inlineStr">
        <is>
          <t>End-of-summer open edition pins</t>
        </is>
      </c>
      <c r="C80" t="inlineStr">
        <is>
          <t>Disneyland Paris</t>
        </is>
      </c>
      <c r="D80" t="inlineStr"/>
      <c r="E80" t="inlineStr">
        <is>
          <t>2025-08</t>
        </is>
      </c>
      <c r="F80" t="n">
        <v>2025</v>
      </c>
      <c r="G80" t="inlineStr"/>
      <c r="H80" t="inlineStr"/>
      <c r="I80" t="inlineStr"/>
      <c r="J80" t="inlineStr"/>
      <c r="K80" t="inlineStr"/>
      <c r="L80" t="inlineStr">
        <is>
          <t>open edition</t>
        </is>
      </c>
      <c r="M80" t="inlineStr"/>
      <c r="N80" t="inlineStr"/>
      <c r="O80" t="inlineStr"/>
      <c r="P80" t="inlineStr"/>
      <c r="Q80" t="inlineStr"/>
      <c r="R80" t="n">
        <v>4</v>
      </c>
      <c r="S80">
        <f>IF(Q80="","",MAX(Q80-R80,0))</f>
        <v/>
      </c>
      <c r="T80" s="3">
        <f>IF(Q80="","",MIN(R80/Q80,1))</f>
        <v/>
      </c>
      <c r="U80" t="inlineStr">
        <is>
          <t>Abu; Nala; Rajah; Simba</t>
        </is>
      </c>
      <c r="V80" t="inlineStr"/>
      <c r="W80" t="inlineStr">
        <is>
          <t>evidenced</t>
        </is>
      </c>
      <c r="X80" t="inlineStr">
        <is>
          <t>Low</t>
        </is>
      </c>
      <c r="Y80" t="inlineStr">
        <is>
          <t>https://pixiedustdlp.com/2025/07/29/disneyland-paris-pins-august-2025/</t>
        </is>
      </c>
      <c r="Z80" t="inlineStr">
        <is>
          <t>secondary</t>
        </is>
      </c>
      <c r="AA80" t="inlineStr">
        <is>
          <t>https://www.mousesteps.com/2025/07/29/disneyland-paris-pins-for-august-2025-revealed-including-picsou-magazine-theme/</t>
        </is>
      </c>
      <c r="AB80" t="n">
        <v>2</v>
      </c>
      <c r="AC80" t="inlineStr"/>
      <c r="AD80" t="inlineStr"/>
      <c r="AE80" t="inlineStr"/>
      <c r="AF80" t="inlineStr"/>
      <c r="AG80" t="inlineStr">
        <is>
          <t>dlp/2025/lion-king-aladdin-pooh-end-of-summer-oe-2025-08</t>
        </is>
      </c>
    </row>
    <row r="81">
      <c r="A81" t="inlineStr">
        <is>
          <t>PHS-0080</t>
        </is>
      </c>
      <c r="B81" t="inlineStr">
        <is>
          <t>Tiana and Naveen frogs limited edition pin</t>
        </is>
      </c>
      <c r="C81" t="inlineStr">
        <is>
          <t>Disneyland Paris</t>
        </is>
      </c>
      <c r="D81" t="inlineStr"/>
      <c r="E81" t="inlineStr">
        <is>
          <t>2025-08</t>
        </is>
      </c>
      <c r="F81" t="n">
        <v>2025</v>
      </c>
      <c r="G81" t="inlineStr"/>
      <c r="H81" t="inlineStr"/>
      <c r="I81" t="inlineStr"/>
      <c r="J81" t="inlineStr"/>
      <c r="K81" t="inlineStr"/>
      <c r="L81" t="inlineStr">
        <is>
          <t>limited edition</t>
        </is>
      </c>
      <c r="M81" t="n">
        <v>700</v>
      </c>
      <c r="N81" t="inlineStr"/>
      <c r="O81" t="inlineStr"/>
      <c r="P81" t="inlineStr"/>
      <c r="Q81" t="inlineStr"/>
      <c r="R81" t="n">
        <v>1</v>
      </c>
      <c r="S81">
        <f>IF(Q81="","",MAX(Q81-R81,0))</f>
        <v/>
      </c>
      <c r="T81" s="3">
        <f>IF(Q81="","",MIN(R81/Q81,1))</f>
        <v/>
      </c>
      <c r="U81" t="inlineStr">
        <is>
          <t>Naveen; Tiana</t>
        </is>
      </c>
      <c r="V81" t="inlineStr"/>
      <c r="W81" t="inlineStr">
        <is>
          <t>evidenced</t>
        </is>
      </c>
      <c r="X81" t="inlineStr">
        <is>
          <t>Low</t>
        </is>
      </c>
      <c r="Y81" t="inlineStr">
        <is>
          <t>https://disneymouseketeer.com/disneyland-paris-august-2025-pins-preview-sheet-schedule/</t>
        </is>
      </c>
      <c r="Z81" t="inlineStr">
        <is>
          <t>secondary</t>
        </is>
      </c>
      <c r="AA81" t="inlineStr">
        <is>
          <t>https://www.mousesteps.com/2025/07/29/disneyland-paris-pins-for-august-2025-revealed-including-picsou-magazine-theme/</t>
        </is>
      </c>
      <c r="AB81" t="n">
        <v>2</v>
      </c>
      <c r="AC81" t="inlineStr"/>
      <c r="AD81" t="inlineStr"/>
      <c r="AE81" t="inlineStr"/>
      <c r="AF81" t="inlineStr"/>
      <c r="AG81" t="inlineStr">
        <is>
          <t>dlp/2025/tiana-naveen-frogs-le-700</t>
        </is>
      </c>
    </row>
    <row r="82">
      <c r="A82" t="inlineStr">
        <is>
          <t>PHS-0081</t>
        </is>
      </c>
      <c r="B82" t="inlineStr">
        <is>
          <t>Encanto character door pins</t>
        </is>
      </c>
      <c r="C82" t="inlineStr">
        <is>
          <t>Disneyland Paris</t>
        </is>
      </c>
      <c r="D82" t="inlineStr"/>
      <c r="E82" t="inlineStr">
        <is>
          <t>2025-08-09</t>
        </is>
      </c>
      <c r="F82" t="n">
        <v>2025</v>
      </c>
      <c r="G82" t="inlineStr"/>
      <c r="H82" t="inlineStr"/>
      <c r="I82" t="inlineStr"/>
      <c r="J82" t="inlineStr"/>
      <c r="K82" t="inlineStr"/>
      <c r="L82" t="inlineStr">
        <is>
          <t>open edition</t>
        </is>
      </c>
      <c r="M82" t="inlineStr"/>
      <c r="N82" t="inlineStr"/>
      <c r="O82" t="inlineStr"/>
      <c r="P82" t="inlineStr"/>
      <c r="Q82" t="n">
        <v>5</v>
      </c>
      <c r="R82" t="n">
        <v>5</v>
      </c>
      <c r="S82">
        <f>IF(Q82="","",MAX(Q82-R82,0))</f>
        <v/>
      </c>
      <c r="T82" s="3">
        <f>IF(Q82="","",MIN(R82/Q82,1))</f>
        <v/>
      </c>
      <c r="U82" t="inlineStr">
        <is>
          <t>Bruno; Dolores; Isabela; Luisa; Pepa</t>
        </is>
      </c>
      <c r="V82" t="inlineStr"/>
      <c r="W82" t="inlineStr">
        <is>
          <t>evidenced</t>
        </is>
      </c>
      <c r="X82" t="inlineStr">
        <is>
          <t>Low</t>
        </is>
      </c>
      <c r="Y82" t="inlineStr">
        <is>
          <t>https://www.mousesteps.com/2025/07/29/disneyland-paris-pins-for-august-2025-revealed-including-picsou-magazine-theme/</t>
        </is>
      </c>
      <c r="Z82" t="inlineStr">
        <is>
          <t>secondary</t>
        </is>
      </c>
      <c r="AA82" t="inlineStr"/>
      <c r="AB82" t="n">
        <v>1</v>
      </c>
      <c r="AC82" t="inlineStr"/>
      <c r="AD82" t="inlineStr"/>
      <c r="AE82" t="inlineStr"/>
      <c r="AF82" t="inlineStr"/>
      <c r="AG82" t="inlineStr">
        <is>
          <t>dlp/2025/encanto-doors-oe-2025-08-09</t>
        </is>
      </c>
    </row>
    <row r="83">
      <c r="A83" t="inlineStr">
        <is>
          <t>PHS-0082</t>
        </is>
      </c>
      <c r="B83" t="inlineStr">
        <is>
          <t>Picsou Magazine pins</t>
        </is>
      </c>
      <c r="C83" t="inlineStr">
        <is>
          <t>Disneyland Paris</t>
        </is>
      </c>
      <c r="D83" t="inlineStr"/>
      <c r="E83" t="inlineStr">
        <is>
          <t>2025-08-16</t>
        </is>
      </c>
      <c r="F83" t="n">
        <v>2025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4</v>
      </c>
      <c r="R83" t="n">
        <v>4</v>
      </c>
      <c r="S83">
        <f>IF(Q83="","",MAX(Q83-R83,0))</f>
        <v/>
      </c>
      <c r="T83" s="3">
        <f>IF(Q83="","",MIN(R83/Q83,1))</f>
        <v/>
      </c>
      <c r="U83" t="inlineStr">
        <is>
          <t>Beagle Boys; Donald Duck; Scrooge McDuck; Dewey; Huey; Louie</t>
        </is>
      </c>
      <c r="V83" t="inlineStr"/>
      <c r="W83" t="inlineStr">
        <is>
          <t>evidenced</t>
        </is>
      </c>
      <c r="X83" t="inlineStr">
        <is>
          <t>Low</t>
        </is>
      </c>
      <c r="Y83" t="inlineStr">
        <is>
          <t>https://www.mousesteps.com/2025/07/29/disneyland-paris-pins-for-august-2025-revealed-including-picsou-magazine-theme/</t>
        </is>
      </c>
      <c r="Z83" t="inlineStr">
        <is>
          <t>secondary</t>
        </is>
      </c>
      <c r="AA83" t="inlineStr"/>
      <c r="AB83" t="n">
        <v>1</v>
      </c>
      <c r="AC83" t="inlineStr"/>
      <c r="AD83" t="inlineStr"/>
      <c r="AE83" t="inlineStr"/>
      <c r="AF83" t="inlineStr"/>
      <c r="AG83" t="inlineStr">
        <is>
          <t>dlp/2025/picsou-magazine-2025-08-16</t>
        </is>
      </c>
    </row>
    <row r="84">
      <c r="A84" t="inlineStr">
        <is>
          <t>PHS-0083</t>
        </is>
      </c>
      <c r="B84" t="inlineStr">
        <is>
          <t>Brother Bear start of fall limited edition pin</t>
        </is>
      </c>
      <c r="C84" t="inlineStr">
        <is>
          <t>Disneyland Paris</t>
        </is>
      </c>
      <c r="D84" t="inlineStr"/>
      <c r="E84" t="inlineStr">
        <is>
          <t>2025-09</t>
        </is>
      </c>
      <c r="F84" t="n">
        <v>2025</v>
      </c>
      <c r="G84" t="inlineStr"/>
      <c r="H84" t="inlineStr"/>
      <c r="I84" t="inlineStr"/>
      <c r="J84" t="inlineStr"/>
      <c r="K84" t="inlineStr"/>
      <c r="L84" t="inlineStr">
        <is>
          <t>limited edition</t>
        </is>
      </c>
      <c r="M84" t="inlineStr"/>
      <c r="N84" t="inlineStr"/>
      <c r="O84" t="inlineStr"/>
      <c r="P84" t="inlineStr"/>
      <c r="Q84" t="inlineStr"/>
      <c r="R84" t="n">
        <v>1</v>
      </c>
      <c r="S84">
        <f>IF(Q84="","",MAX(Q84-R84,0))</f>
        <v/>
      </c>
      <c r="T84" s="3">
        <f>IF(Q84="","",MIN(R84/Q84,1))</f>
        <v/>
      </c>
      <c r="U84" t="inlineStr">
        <is>
          <t>Autumn 2025 Brother Bear</t>
        </is>
      </c>
      <c r="V84" t="inlineStr"/>
      <c r="W84" t="inlineStr">
        <is>
          <t>evidenced</t>
        </is>
      </c>
      <c r="X84" t="inlineStr">
        <is>
          <t>Low</t>
        </is>
      </c>
      <c r="Y84" t="inlineStr">
        <is>
          <t>https://mypincentral.com/blog_post/pin-releases-disneyland-paris-disneyland-paris-flyer-for-september-2025</t>
        </is>
      </c>
      <c r="Z84" t="inlineStr">
        <is>
          <t>secondary</t>
        </is>
      </c>
      <c r="AA84" t="inlineStr">
        <is>
          <t>https://pixiedustdlp.com/2025/08/29/disneyland-paris-pin-trading-sept-2025/</t>
        </is>
      </c>
      <c r="AB84" t="n">
        <v>2</v>
      </c>
      <c r="AC84" t="inlineStr"/>
      <c r="AD84" t="inlineStr"/>
      <c r="AE84" t="inlineStr"/>
      <c r="AF84" t="inlineStr"/>
      <c r="AG84" t="inlineStr">
        <is>
          <t>dlp/2025/brother-bear-fall-le-2025-09</t>
        </is>
      </c>
    </row>
    <row r="85">
      <c r="A85" t="inlineStr">
        <is>
          <t>PHS-0084</t>
        </is>
      </c>
      <c r="B85" t="inlineStr">
        <is>
          <t>Captain Hook and Peter Pan limited edition pin</t>
        </is>
      </c>
      <c r="C85" t="inlineStr">
        <is>
          <t>Disneyland Paris</t>
        </is>
      </c>
      <c r="D85" t="inlineStr"/>
      <c r="E85" t="inlineStr">
        <is>
          <t>2025-09</t>
        </is>
      </c>
      <c r="F85" t="n">
        <v>2025</v>
      </c>
      <c r="G85" t="inlineStr"/>
      <c r="H85" t="inlineStr"/>
      <c r="I85" t="inlineStr"/>
      <c r="J85" t="inlineStr"/>
      <c r="K85" t="inlineStr"/>
      <c r="L85" t="inlineStr">
        <is>
          <t>limited edition</t>
        </is>
      </c>
      <c r="M85" t="inlineStr"/>
      <c r="N85" t="inlineStr"/>
      <c r="O85" t="inlineStr"/>
      <c r="P85" t="inlineStr"/>
      <c r="Q85" t="inlineStr"/>
      <c r="R85" t="n">
        <v>1</v>
      </c>
      <c r="S85">
        <f>IF(Q85="","",MAX(Q85-R85,0))</f>
        <v/>
      </c>
      <c r="T85" s="3">
        <f>IF(Q85="","",MIN(R85/Q85,1))</f>
        <v/>
      </c>
      <c r="U85" t="inlineStr">
        <is>
          <t>Captain Hook; Peter Pan</t>
        </is>
      </c>
      <c r="V85" t="inlineStr"/>
      <c r="W85" t="inlineStr">
        <is>
          <t>evidenced</t>
        </is>
      </c>
      <c r="X85" t="inlineStr">
        <is>
          <t>Low</t>
        </is>
      </c>
      <c r="Y85" t="inlineStr">
        <is>
          <t>https://mypincentral.com/blog_post/pin-releases-disneyland-paris-disneyland-paris-flyer-for-september-2025</t>
        </is>
      </c>
      <c r="Z85" t="inlineStr">
        <is>
          <t>secondary</t>
        </is>
      </c>
      <c r="AA85" t="inlineStr">
        <is>
          <t>https://www.mousesteps.com/2025/08/29/disneyland-paris-pins-for-september-2025-revealed/</t>
        </is>
      </c>
      <c r="AB85" t="n">
        <v>2</v>
      </c>
      <c r="AC85" t="inlineStr"/>
      <c r="AD85" t="inlineStr"/>
      <c r="AE85" t="inlineStr"/>
      <c r="AF85" t="inlineStr"/>
      <c r="AG85" t="inlineStr">
        <is>
          <t>dlp/2025/captain-hook-peter-pan-le-2025-09</t>
        </is>
      </c>
    </row>
    <row r="86">
      <c r="A86" t="inlineStr">
        <is>
          <t>PHS-0085</t>
        </is>
      </c>
      <c r="B86" t="inlineStr">
        <is>
          <t>Mickey and Minnie moon limited edition pin</t>
        </is>
      </c>
      <c r="C86" t="inlineStr">
        <is>
          <t>Disneyland Paris</t>
        </is>
      </c>
      <c r="D86" t="inlineStr"/>
      <c r="E86" t="inlineStr">
        <is>
          <t>2025-09</t>
        </is>
      </c>
      <c r="F86" t="n">
        <v>2025</v>
      </c>
      <c r="G86" t="inlineStr"/>
      <c r="H86" t="inlineStr"/>
      <c r="I86" t="inlineStr"/>
      <c r="J86" t="inlineStr"/>
      <c r="K86" t="inlineStr"/>
      <c r="L86" t="inlineStr">
        <is>
          <t>limited edition</t>
        </is>
      </c>
      <c r="M86" t="inlineStr"/>
      <c r="N86" t="inlineStr"/>
      <c r="O86" t="inlineStr"/>
      <c r="P86" t="inlineStr"/>
      <c r="Q86" t="inlineStr"/>
      <c r="R86" t="n">
        <v>1</v>
      </c>
      <c r="S86">
        <f>IF(Q86="","",MAX(Q86-R86,0))</f>
        <v/>
      </c>
      <c r="T86" s="3">
        <f>IF(Q86="","",MIN(R86/Q86,1))</f>
        <v/>
      </c>
      <c r="U86" t="inlineStr">
        <is>
          <t>Mickey Mouse; Minnie Mouse</t>
        </is>
      </c>
      <c r="V86" t="inlineStr"/>
      <c r="W86" t="inlineStr">
        <is>
          <t>evidenced</t>
        </is>
      </c>
      <c r="X86" t="inlineStr">
        <is>
          <t>Low</t>
        </is>
      </c>
      <c r="Y86" t="inlineStr">
        <is>
          <t>https://disneymouseketeer.com/disneyland-paris-september-2025-pins-preview-sheet-schedule/</t>
        </is>
      </c>
      <c r="Z86" t="inlineStr">
        <is>
          <t>secondary</t>
        </is>
      </c>
      <c r="AA86" t="inlineStr">
        <is>
          <t>https://mypincentral.com/blog_post/pin-releases-disneyland-paris-disneyland-paris-flyer-for-september-2025</t>
        </is>
      </c>
      <c r="AB86" t="n">
        <v>3</v>
      </c>
      <c r="AC86" t="inlineStr"/>
      <c r="AD86" t="inlineStr"/>
      <c r="AE86" t="inlineStr"/>
      <c r="AF86" t="inlineStr"/>
      <c r="AG86" t="inlineStr">
        <is>
          <t>dlp/2025/mickey-minnie-moon-le-2025-09</t>
        </is>
      </c>
    </row>
    <row r="87">
      <c r="A87" t="inlineStr">
        <is>
          <t>PHS-0086</t>
        </is>
      </c>
      <c r="B87" t="inlineStr">
        <is>
          <t>Halloween 2025 limited edition pins</t>
        </is>
      </c>
      <c r="C87" t="inlineStr">
        <is>
          <t>Disneyland Paris</t>
        </is>
      </c>
      <c r="D87" t="inlineStr"/>
      <c r="E87" t="inlineStr">
        <is>
          <t>2025-09-20</t>
        </is>
      </c>
      <c r="F87" t="n">
        <v>2025</v>
      </c>
      <c r="G87" t="inlineStr"/>
      <c r="H87" t="inlineStr"/>
      <c r="I87" t="inlineStr"/>
      <c r="J87" t="inlineStr"/>
      <c r="K87" t="inlineStr"/>
      <c r="L87" t="inlineStr">
        <is>
          <t>limited edition</t>
        </is>
      </c>
      <c r="M87" t="inlineStr"/>
      <c r="N87" t="inlineStr"/>
      <c r="O87" t="inlineStr"/>
      <c r="P87" t="inlineStr"/>
      <c r="Q87" t="n">
        <v>2</v>
      </c>
      <c r="R87" t="n">
        <v>2</v>
      </c>
      <c r="S87">
        <f>IF(Q87="","",MAX(Q87-R87,0))</f>
        <v/>
      </c>
      <c r="T87" s="3">
        <f>IF(Q87="","",MIN(R87/Q87,1))</f>
        <v/>
      </c>
      <c r="U87" t="inlineStr">
        <is>
          <t>Mickey Mouse; Minnie Mouse</t>
        </is>
      </c>
      <c r="V87" t="inlineStr"/>
      <c r="W87" t="inlineStr">
        <is>
          <t>evidenced</t>
        </is>
      </c>
      <c r="X87" t="inlineStr">
        <is>
          <t>Low</t>
        </is>
      </c>
      <c r="Y87" t="inlineStr">
        <is>
          <t>https://disneymouseketeer.com/disneyland-paris-september-2025-pins-preview-sheet-schedule/</t>
        </is>
      </c>
      <c r="Z87" t="inlineStr">
        <is>
          <t>secondary</t>
        </is>
      </c>
      <c r="AA87" t="inlineStr">
        <is>
          <t>https://mypincentral.com/blog_post/pin-releases-disneyland-paris-disneyland-paris-flyer-for-september-2025</t>
        </is>
      </c>
      <c r="AB87" t="n">
        <v>4</v>
      </c>
      <c r="AC87" t="inlineStr"/>
      <c r="AD87" t="inlineStr"/>
      <c r="AE87" t="inlineStr"/>
      <c r="AF87" t="inlineStr"/>
      <c r="AG87" t="inlineStr">
        <is>
          <t>dlp/2025/halloween-2025-le-2025-09-20</t>
        </is>
      </c>
    </row>
    <row r="88">
      <c r="A88" t="inlineStr">
        <is>
          <t>PHS-0087</t>
        </is>
      </c>
      <c r="B88" t="inlineStr">
        <is>
          <t>Halloween 2025 open edition pins</t>
        </is>
      </c>
      <c r="C88" t="inlineStr">
        <is>
          <t>Disneyland Paris</t>
        </is>
      </c>
      <c r="D88" t="inlineStr"/>
      <c r="E88" t="inlineStr">
        <is>
          <t>2025-09-20</t>
        </is>
      </c>
      <c r="F88" t="n">
        <v>2025</v>
      </c>
      <c r="G88" t="inlineStr"/>
      <c r="H88" t="inlineStr"/>
      <c r="I88" t="inlineStr"/>
      <c r="J88" t="inlineStr"/>
      <c r="K88" t="inlineStr"/>
      <c r="L88" t="inlineStr">
        <is>
          <t>open edition</t>
        </is>
      </c>
      <c r="M88" t="inlineStr"/>
      <c r="N88" t="inlineStr"/>
      <c r="O88" t="inlineStr"/>
      <c r="P88" t="inlineStr"/>
      <c r="Q88" t="n">
        <v>7</v>
      </c>
      <c r="R88" t="n">
        <v>7</v>
      </c>
      <c r="S88">
        <f>IF(Q88="","",MAX(Q88-R88,0))</f>
        <v/>
      </c>
      <c r="T88" s="3">
        <f>IF(Q88="","",MIN(R88/Q88,1))</f>
        <v/>
      </c>
      <c r="U88" t="inlineStr">
        <is>
          <t>Chip; Dale; Daisy Duck; Donald Duck; Goofy; Mickey Mouse; Minnie Mouse; Pluto; Scrump; Stitch</t>
        </is>
      </c>
      <c r="V88" t="inlineStr"/>
      <c r="W88" t="inlineStr">
        <is>
          <t>evidenced (held)</t>
        </is>
      </c>
      <c r="X88" t="inlineStr">
        <is>
          <t>Low</t>
        </is>
      </c>
      <c r="Y88" t="inlineStr">
        <is>
          <t>https://disneymouseketeer.com/disneyland-paris-september-2025-pins-preview-sheet-schedule/</t>
        </is>
      </c>
      <c r="Z88" t="inlineStr">
        <is>
          <t>secondary</t>
        </is>
      </c>
      <c r="AA88" t="inlineStr">
        <is>
          <t>https://mypincentral.com/blog_post/pin-releases-disneyland-paris-disneyland-paris-flyer-for-september-2025</t>
        </is>
      </c>
      <c r="AB88" t="n">
        <v>3</v>
      </c>
      <c r="AC88" t="inlineStr"/>
      <c r="AD88" t="inlineStr"/>
      <c r="AE88" t="inlineStr"/>
      <c r="AF88" t="inlineStr"/>
      <c r="AG88" t="inlineStr">
        <is>
          <t>dlp/2025/halloween-2025-oe-2025-09-20</t>
        </is>
      </c>
    </row>
    <row r="89">
      <c r="A89" t="inlineStr">
        <is>
          <t>PHS-0088</t>
        </is>
      </c>
      <c r="B89" t="inlineStr">
        <is>
          <t>Cruella and Ursula jumbo limited edition pins</t>
        </is>
      </c>
      <c r="C89" t="inlineStr">
        <is>
          <t>Disneyland Paris</t>
        </is>
      </c>
      <c r="D89" t="inlineStr"/>
      <c r="E89" t="inlineStr">
        <is>
          <t>2025-09-27</t>
        </is>
      </c>
      <c r="F89" t="n">
        <v>2025</v>
      </c>
      <c r="G89" t="inlineStr"/>
      <c r="H89" t="inlineStr"/>
      <c r="I89" t="inlineStr">
        <is>
          <t>jumbo pins</t>
        </is>
      </c>
      <c r="J89" t="inlineStr"/>
      <c r="K89" t="inlineStr"/>
      <c r="L89" t="inlineStr">
        <is>
          <t>limited edition</t>
        </is>
      </c>
      <c r="M89" t="inlineStr"/>
      <c r="N89" t="inlineStr"/>
      <c r="O89" t="inlineStr"/>
      <c r="P89" t="inlineStr"/>
      <c r="Q89" t="n">
        <v>2</v>
      </c>
      <c r="R89" t="n">
        <v>2</v>
      </c>
      <c r="S89">
        <f>IF(Q89="","",MAX(Q89-R89,0))</f>
        <v/>
      </c>
      <c r="T89" s="3">
        <f>IF(Q89="","",MIN(R89/Q89,1))</f>
        <v/>
      </c>
      <c r="U89" t="inlineStr">
        <is>
          <t>Cruella de Vil; Ursula</t>
        </is>
      </c>
      <c r="V89" t="inlineStr"/>
      <c r="W89" t="inlineStr">
        <is>
          <t>evidenced</t>
        </is>
      </c>
      <c r="X89" t="inlineStr">
        <is>
          <t>Low</t>
        </is>
      </c>
      <c r="Y89" t="inlineStr">
        <is>
          <t>https://pixiedustdlp.com/2025/08/29/disneyland-paris-pin-trading-sept-2025/</t>
        </is>
      </c>
      <c r="Z89" t="inlineStr">
        <is>
          <t>secondary</t>
        </is>
      </c>
      <c r="AA89" t="inlineStr">
        <is>
          <t>https://www.mousesteps.com/2025/08/29/disneyland-paris-pins-for-september-2025-revealed/</t>
        </is>
      </c>
      <c r="AB89" t="n">
        <v>2</v>
      </c>
      <c r="AC89" t="inlineStr"/>
      <c r="AD89" t="inlineStr"/>
      <c r="AE89" t="inlineStr"/>
      <c r="AF89" t="inlineStr"/>
      <c r="AG89" t="inlineStr">
        <is>
          <t>dlp/2025/villains-jumbo-cruella-ursula-le-2025-09-27</t>
        </is>
      </c>
    </row>
    <row r="90">
      <c r="A90" t="inlineStr">
        <is>
          <t>PHS-0089</t>
        </is>
      </c>
      <c r="B90" t="inlineStr">
        <is>
          <t>Tarot Series Aladdin limited edition pin</t>
        </is>
      </c>
      <c r="C90" t="inlineStr">
        <is>
          <t>Disneyland Paris</t>
        </is>
      </c>
      <c r="D90" t="inlineStr"/>
      <c r="E90" t="inlineStr">
        <is>
          <t>2025-10-04</t>
        </is>
      </c>
      <c r="F90" t="n">
        <v>2025</v>
      </c>
      <c r="G90" t="inlineStr"/>
      <c r="H90" t="inlineStr">
        <is>
          <t>Tarot Series</t>
        </is>
      </c>
      <c r="I90" t="inlineStr"/>
      <c r="J90" t="inlineStr"/>
      <c r="K90" t="inlineStr"/>
      <c r="L90" t="inlineStr">
        <is>
          <t>limited edition</t>
        </is>
      </c>
      <c r="M90" t="n">
        <v>800</v>
      </c>
      <c r="N90" t="n">
        <v>20</v>
      </c>
      <c r="O90" t="inlineStr">
        <is>
          <t>EUR</t>
        </is>
      </c>
      <c r="P90" t="inlineStr"/>
      <c r="Q90" t="inlineStr"/>
      <c r="R90" t="n">
        <v>1</v>
      </c>
      <c r="S90">
        <f>IF(Q90="","",MAX(Q90-R90,0))</f>
        <v/>
      </c>
      <c r="T90" s="3">
        <f>IF(Q90="","",MIN(R90/Q90,1))</f>
        <v/>
      </c>
      <c r="U90" t="inlineStr">
        <is>
          <t>Aladdin</t>
        </is>
      </c>
      <c r="V90" t="inlineStr"/>
      <c r="W90" t="inlineStr">
        <is>
          <t>evidenced</t>
        </is>
      </c>
      <c r="X90" t="inlineStr">
        <is>
          <t>Low</t>
        </is>
      </c>
      <c r="Y90" t="inlineStr">
        <is>
          <t>https://mypincentral.com/blog_post/pin-releases-disneyland-paris-disneyland-paris-flyer-for-october-2025</t>
        </is>
      </c>
      <c r="Z90" t="inlineStr">
        <is>
          <t>secondary</t>
        </is>
      </c>
      <c r="AA90" t="inlineStr">
        <is>
          <t>https://www.mousesteps.com/2025/09/29/disneyland-paris-october-2025-pins-revealed/</t>
        </is>
      </c>
      <c r="AB90" t="n">
        <v>2</v>
      </c>
      <c r="AC90" t="inlineStr"/>
      <c r="AD90" t="inlineStr"/>
      <c r="AE90" t="inlineStr"/>
      <c r="AF90" t="inlineStr"/>
      <c r="AG90" t="inlineStr">
        <is>
          <t>dlp/2025/tarot-series-aladdin-le-800</t>
        </is>
      </c>
    </row>
    <row r="91">
      <c r="A91" t="inlineStr">
        <is>
          <t>PHS-0090</t>
        </is>
      </c>
      <c r="B91" t="inlineStr">
        <is>
          <t>Disney Villains open edition pins</t>
        </is>
      </c>
      <c r="C91" t="inlineStr">
        <is>
          <t>Disneyland Paris</t>
        </is>
      </c>
      <c r="D91" t="inlineStr"/>
      <c r="E91" t="inlineStr">
        <is>
          <t>2025-10-04</t>
        </is>
      </c>
      <c r="F91" t="n">
        <v>2025</v>
      </c>
      <c r="G91" t="inlineStr"/>
      <c r="H91" t="inlineStr"/>
      <c r="I91" t="inlineStr"/>
      <c r="J91" t="inlineStr"/>
      <c r="K91" t="inlineStr"/>
      <c r="L91" t="inlineStr">
        <is>
          <t>open edition</t>
        </is>
      </c>
      <c r="M91" t="inlineStr"/>
      <c r="N91" t="n">
        <v>15</v>
      </c>
      <c r="O91" t="inlineStr">
        <is>
          <t>EUR</t>
        </is>
      </c>
      <c r="P91" t="inlineStr"/>
      <c r="Q91" t="n">
        <v>4</v>
      </c>
      <c r="R91" t="n">
        <v>4</v>
      </c>
      <c r="S91">
        <f>IF(Q91="","",MAX(Q91-R91,0))</f>
        <v/>
      </c>
      <c r="T91" s="3">
        <f>IF(Q91="","",MIN(R91/Q91,1))</f>
        <v/>
      </c>
      <c r="U91" t="inlineStr">
        <is>
          <t>Evil Queen; Magic Mirror; Hades; Pain; Panic; Iago; Jafar; Banzai; Ed; Scar; Shenzi</t>
        </is>
      </c>
      <c r="V91" t="inlineStr"/>
      <c r="W91" t="inlineStr">
        <is>
          <t>evidenced</t>
        </is>
      </c>
      <c r="X91" t="inlineStr">
        <is>
          <t>Low</t>
        </is>
      </c>
      <c r="Y91" t="inlineStr">
        <is>
          <t>https://mypincentral.com/blog_post/pin-releases-disneyland-paris-disneyland-paris-flyer-for-october-2025</t>
        </is>
      </c>
      <c r="Z91" t="inlineStr">
        <is>
          <t>secondary</t>
        </is>
      </c>
      <c r="AA91" t="inlineStr">
        <is>
          <t>https://www.mousesteps.com/2025/09/29/disneyland-paris-october-2025-pins-revealed/</t>
        </is>
      </c>
      <c r="AB91" t="n">
        <v>2</v>
      </c>
      <c r="AC91" t="inlineStr"/>
      <c r="AD91" t="inlineStr"/>
      <c r="AE91" t="inlineStr"/>
      <c r="AF91" t="inlineStr"/>
      <c r="AG91" t="inlineStr">
        <is>
          <t>dlp/2025/villains-oe-2025-10-04</t>
        </is>
      </c>
    </row>
    <row r="92">
      <c r="A92" t="inlineStr">
        <is>
          <t>PHS-0091</t>
        </is>
      </c>
      <c r="B92" t="inlineStr">
        <is>
          <t>Kuzco 25th Anniversary jumbo limited edition pin</t>
        </is>
      </c>
      <c r="C92" t="inlineStr">
        <is>
          <t>Disneyland Paris</t>
        </is>
      </c>
      <c r="D92" t="inlineStr"/>
      <c r="E92" t="inlineStr">
        <is>
          <t>2025-10-11</t>
        </is>
      </c>
      <c r="F92" t="n">
        <v>2025</v>
      </c>
      <c r="G92" t="inlineStr"/>
      <c r="H92" t="inlineStr"/>
      <c r="I92" t="inlineStr">
        <is>
          <t>jumbo pin</t>
        </is>
      </c>
      <c r="J92" t="inlineStr"/>
      <c r="K92" t="inlineStr"/>
      <c r="L92" t="inlineStr">
        <is>
          <t>limited edition</t>
        </is>
      </c>
      <c r="M92" t="n">
        <v>800</v>
      </c>
      <c r="N92" t="n">
        <v>55</v>
      </c>
      <c r="O92" t="inlineStr">
        <is>
          <t>EUR</t>
        </is>
      </c>
      <c r="P92" t="inlineStr"/>
      <c r="Q92" t="inlineStr"/>
      <c r="R92" t="n">
        <v>1</v>
      </c>
      <c r="S92">
        <f>IF(Q92="","",MAX(Q92-R92,0))</f>
        <v/>
      </c>
      <c r="T92" s="3">
        <f>IF(Q92="","",MIN(R92/Q92,1))</f>
        <v/>
      </c>
      <c r="U92" t="inlineStr">
        <is>
          <t>Kuzco</t>
        </is>
      </c>
      <c r="V92" t="inlineStr"/>
      <c r="W92" t="inlineStr">
        <is>
          <t>evidenced</t>
        </is>
      </c>
      <c r="X92" t="inlineStr">
        <is>
          <t>Low</t>
        </is>
      </c>
      <c r="Y92" t="inlineStr">
        <is>
          <t>https://disneypinventory.com/view_item.php?itemID=50640</t>
        </is>
      </c>
      <c r="Z92" t="inlineStr">
        <is>
          <t>secondary</t>
        </is>
      </c>
      <c r="AA92" t="inlineStr">
        <is>
          <t>https://mypincentral.com/blog_post/pin-releases-disneyland-paris-disneyland-paris-flyer-for-october-2025</t>
        </is>
      </c>
      <c r="AB92" t="n">
        <v>4</v>
      </c>
      <c r="AC92" t="inlineStr"/>
      <c r="AD92" t="inlineStr"/>
      <c r="AE92" t="inlineStr"/>
      <c r="AF92" t="inlineStr"/>
      <c r="AG92" t="inlineStr">
        <is>
          <t>dlp/2025/kuzco-25th-anniversary-jumbo-le-800</t>
        </is>
      </c>
    </row>
    <row r="93">
      <c r="A93" t="inlineStr">
        <is>
          <t>PHS-0092</t>
        </is>
      </c>
      <c r="B93" t="inlineStr">
        <is>
          <t>Lunar Series Miss Bunny &amp; Thumper limited edition pin</t>
        </is>
      </c>
      <c r="C93" t="inlineStr">
        <is>
          <t>Disneyland Paris</t>
        </is>
      </c>
      <c r="D93" t="inlineStr"/>
      <c r="E93" t="inlineStr">
        <is>
          <t>2025-10-11</t>
        </is>
      </c>
      <c r="F93" t="n">
        <v>2025</v>
      </c>
      <c r="G93" t="inlineStr"/>
      <c r="H93" t="inlineStr">
        <is>
          <t>Lunar Series</t>
        </is>
      </c>
      <c r="I93" t="inlineStr"/>
      <c r="J93" t="inlineStr"/>
      <c r="K93" t="inlineStr"/>
      <c r="L93" t="inlineStr">
        <is>
          <t>limited edition</t>
        </is>
      </c>
      <c r="M93" t="n">
        <v>700</v>
      </c>
      <c r="N93" t="n">
        <v>25</v>
      </c>
      <c r="O93" t="inlineStr">
        <is>
          <t>EUR</t>
        </is>
      </c>
      <c r="P93" t="inlineStr"/>
      <c r="Q93" t="inlineStr"/>
      <c r="R93" t="n">
        <v>1</v>
      </c>
      <c r="S93">
        <f>IF(Q93="","",MAX(Q93-R93,0))</f>
        <v/>
      </c>
      <c r="T93" s="3">
        <f>IF(Q93="","",MIN(R93/Q93,1))</f>
        <v/>
      </c>
      <c r="U93" t="inlineStr">
        <is>
          <t>Miss Bunny; Thumper</t>
        </is>
      </c>
      <c r="V93" t="inlineStr"/>
      <c r="W93" t="inlineStr">
        <is>
          <t>evidenced</t>
        </is>
      </c>
      <c r="X93" t="inlineStr">
        <is>
          <t>Low</t>
        </is>
      </c>
      <c r="Y93" t="inlineStr">
        <is>
          <t>https://mypincentral.com/blog_post/pin-releases-disneyland-paris-disneyland-paris-flyer-for-october-2025</t>
        </is>
      </c>
      <c r="Z93" t="inlineStr">
        <is>
          <t>secondary</t>
        </is>
      </c>
      <c r="AA93" t="inlineStr">
        <is>
          <t>https://www.mousesteps.com/2025/09/29/disneyland-paris-october-2025-pins-revealed/</t>
        </is>
      </c>
      <c r="AB93" t="n">
        <v>2</v>
      </c>
      <c r="AC93" t="inlineStr"/>
      <c r="AD93" t="inlineStr"/>
      <c r="AE93" t="inlineStr"/>
      <c r="AF93" t="inlineStr"/>
      <c r="AG93" t="inlineStr">
        <is>
          <t>dlp/2025/miss-bunny-thumper-lunar-series-le-700</t>
        </is>
      </c>
    </row>
    <row r="94">
      <c r="A94" t="inlineStr">
        <is>
          <t>PHS-0093</t>
        </is>
      </c>
      <c r="B94" t="inlineStr">
        <is>
          <t>Voyage Series Robin Hood limited edition pin</t>
        </is>
      </c>
      <c r="C94" t="inlineStr">
        <is>
          <t>Disneyland Paris</t>
        </is>
      </c>
      <c r="D94" t="inlineStr"/>
      <c r="E94" t="inlineStr">
        <is>
          <t>2025-10-11</t>
        </is>
      </c>
      <c r="F94" t="n">
        <v>2025</v>
      </c>
      <c r="G94" t="inlineStr"/>
      <c r="H94" t="inlineStr">
        <is>
          <t>Voyage Series</t>
        </is>
      </c>
      <c r="I94" t="inlineStr"/>
      <c r="J94" t="inlineStr"/>
      <c r="K94" t="inlineStr"/>
      <c r="L94" t="inlineStr">
        <is>
          <t>limited edition</t>
        </is>
      </c>
      <c r="M94" t="n">
        <v>800</v>
      </c>
      <c r="N94" t="n">
        <v>20</v>
      </c>
      <c r="O94" t="inlineStr">
        <is>
          <t>EUR</t>
        </is>
      </c>
      <c r="P94" t="inlineStr"/>
      <c r="Q94" t="inlineStr"/>
      <c r="R94" t="n">
        <v>1</v>
      </c>
      <c r="S94">
        <f>IF(Q94="","",MAX(Q94-R94,0))</f>
        <v/>
      </c>
      <c r="T94" s="3">
        <f>IF(Q94="","",MIN(R94/Q94,1))</f>
        <v/>
      </c>
      <c r="U94" t="inlineStr">
        <is>
          <t>Robin Hood</t>
        </is>
      </c>
      <c r="V94" t="inlineStr"/>
      <c r="W94" t="inlineStr">
        <is>
          <t>evidenced</t>
        </is>
      </c>
      <c r="X94" t="inlineStr">
        <is>
          <t>Low</t>
        </is>
      </c>
      <c r="Y94" t="inlineStr">
        <is>
          <t>https://mypincentral.com/blog_post/pin-releases-disneyland-paris-disneyland-paris-flyer-for-october-2025</t>
        </is>
      </c>
      <c r="Z94" t="inlineStr">
        <is>
          <t>secondary</t>
        </is>
      </c>
      <c r="AA94" t="inlineStr">
        <is>
          <t>https://www.mousesteps.com/2025/09/29/disneyland-paris-october-2025-pins-revealed/</t>
        </is>
      </c>
      <c r="AB94" t="n">
        <v>2</v>
      </c>
      <c r="AC94" t="inlineStr"/>
      <c r="AD94" t="inlineStr"/>
      <c r="AE94" t="inlineStr"/>
      <c r="AF94" t="inlineStr"/>
      <c r="AG94" t="inlineStr">
        <is>
          <t>dlp/2025/robin-hood-voyage-series-le-800</t>
        </is>
      </c>
    </row>
    <row r="95">
      <c r="A95" t="inlineStr">
        <is>
          <t>PHS-0094</t>
        </is>
      </c>
      <c r="B95" t="inlineStr">
        <is>
          <t>Pajama Party pins</t>
        </is>
      </c>
      <c r="C95" t="inlineStr">
        <is>
          <t>Disneyland Paris</t>
        </is>
      </c>
      <c r="D95" t="inlineStr"/>
      <c r="E95" t="inlineStr">
        <is>
          <t>2025-10-17</t>
        </is>
      </c>
      <c r="F95" t="n">
        <v>2025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9</v>
      </c>
      <c r="S95">
        <f>IF(Q95="","",MAX(Q95-R95,0))</f>
        <v/>
      </c>
      <c r="T95" s="3">
        <f>IF(Q95="","",MIN(R95/Q95,1))</f>
        <v/>
      </c>
      <c r="U95" t="inlineStr">
        <is>
          <t>Chip; Dale; Daisy Duck; Donald Duck; Goofy; Mickey Mouse; Minnie Mouse</t>
        </is>
      </c>
      <c r="V95" t="inlineStr"/>
      <c r="W95" t="inlineStr">
        <is>
          <t>evidenced (held)</t>
        </is>
      </c>
      <c r="X95" t="inlineStr">
        <is>
          <t>Low</t>
        </is>
      </c>
      <c r="Y95" t="inlineStr">
        <is>
          <t>https://disneymouseketeer.com/disneyland-paris-october-2025-pins-preview-sheet-schedule/</t>
        </is>
      </c>
      <c r="Z95" t="inlineStr">
        <is>
          <t>secondary</t>
        </is>
      </c>
      <c r="AA95" t="inlineStr">
        <is>
          <t>https://disneypinventory.com/view_item.php?itemID=49180</t>
        </is>
      </c>
      <c r="AB95" t="n">
        <v>3</v>
      </c>
      <c r="AC95" t="inlineStr"/>
      <c r="AD95" t="inlineStr"/>
      <c r="AE95" t="inlineStr"/>
      <c r="AF95" t="inlineStr"/>
      <c r="AG95" t="inlineStr">
        <is>
          <t>dlp/2025/pajama-party-2025-10-17</t>
        </is>
      </c>
    </row>
    <row r="96">
      <c r="A96" t="inlineStr">
        <is>
          <t>PHS-0095</t>
        </is>
      </c>
      <c r="B96" t="inlineStr">
        <is>
          <t>Christmas 2025 limited edition pins</t>
        </is>
      </c>
      <c r="C96" t="inlineStr">
        <is>
          <t>Disneyland Paris</t>
        </is>
      </c>
      <c r="D96" t="inlineStr"/>
      <c r="E96" t="inlineStr">
        <is>
          <t>2025-11-01</t>
        </is>
      </c>
      <c r="F96" t="n">
        <v>2025</v>
      </c>
      <c r="G96" t="inlineStr"/>
      <c r="H96" t="inlineStr"/>
      <c r="I96" t="inlineStr"/>
      <c r="J96" t="inlineStr"/>
      <c r="K96" t="inlineStr"/>
      <c r="L96" t="inlineStr">
        <is>
          <t>limited edition</t>
        </is>
      </c>
      <c r="M96" t="inlineStr"/>
      <c r="N96" t="inlineStr"/>
      <c r="O96" t="inlineStr"/>
      <c r="P96" t="inlineStr"/>
      <c r="Q96" t="n">
        <v>2</v>
      </c>
      <c r="R96" t="n">
        <v>1</v>
      </c>
      <c r="S96">
        <f>IF(Q96="","",MAX(Q96-R96,0))</f>
        <v/>
      </c>
      <c r="T96" s="3">
        <f>IF(Q96="","",MIN(R96/Q96,1))</f>
        <v/>
      </c>
      <c r="U96" t="inlineStr">
        <is>
          <t>Pluto</t>
        </is>
      </c>
      <c r="V96" t="inlineStr"/>
      <c r="W96" t="inlineStr">
        <is>
          <t>evidenced</t>
        </is>
      </c>
      <c r="X96" t="inlineStr">
        <is>
          <t>Low</t>
        </is>
      </c>
      <c r="Y96" t="inlineStr">
        <is>
          <t>https://www.mousesteps.com/2025/10/28/disneyland-paris-november-2025-pins-include-christmas-walt-disney-studios-park/</t>
        </is>
      </c>
      <c r="Z96" t="inlineStr">
        <is>
          <t>secondary</t>
        </is>
      </c>
      <c r="AA96" t="inlineStr"/>
      <c r="AB96" t="n">
        <v>1</v>
      </c>
      <c r="AC96" t="inlineStr"/>
      <c r="AD96" t="inlineStr"/>
      <c r="AE96" t="inlineStr"/>
      <c r="AF96" t="inlineStr"/>
      <c r="AG96" t="inlineStr">
        <is>
          <t>dlp/2025/christmas-2025-le</t>
        </is>
      </c>
    </row>
    <row r="97">
      <c r="A97" t="inlineStr">
        <is>
          <t>PHS-0096</t>
        </is>
      </c>
      <c r="B97" t="inlineStr">
        <is>
          <t>Disney Enchanted Christmas 2025 open edition pins</t>
        </is>
      </c>
      <c r="C97" t="inlineStr">
        <is>
          <t>Disneyland Paris</t>
        </is>
      </c>
      <c r="D97" t="inlineStr"/>
      <c r="E97" t="inlineStr">
        <is>
          <t>2025-11-01</t>
        </is>
      </c>
      <c r="F97" t="n">
        <v>2025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</v>
      </c>
      <c r="S97">
        <f>IF(Q97="","",MAX(Q97-R97,0))</f>
        <v/>
      </c>
      <c r="T97" s="3">
        <f>IF(Q97="","",MIN(R97/Q97,1))</f>
        <v/>
      </c>
      <c r="U97" t="inlineStr">
        <is>
          <t>Chip; Dale; Donald Duck; Mickey Mouse; Stitch</t>
        </is>
      </c>
      <c r="V97" t="inlineStr"/>
      <c r="W97" t="inlineStr">
        <is>
          <t>evidenced</t>
        </is>
      </c>
      <c r="X97" t="inlineStr">
        <is>
          <t>Low</t>
        </is>
      </c>
      <c r="Y97" t="inlineStr">
        <is>
          <t>https://disneymouseketeer.com/disneyland-paris-november-2025-pins-preview-sheet-schedule/</t>
        </is>
      </c>
      <c r="Z97" t="inlineStr">
        <is>
          <t>secondary</t>
        </is>
      </c>
      <c r="AA97" t="inlineStr">
        <is>
          <t>https://pixiedustdlp.com/2025/10/28/disneyland-paris-pin-trading-11-2025/</t>
        </is>
      </c>
      <c r="AB97" t="n">
        <v>3</v>
      </c>
      <c r="AC97" t="inlineStr"/>
      <c r="AD97" t="inlineStr"/>
      <c r="AE97" t="inlineStr"/>
      <c r="AF97" t="inlineStr"/>
      <c r="AG97" t="inlineStr">
        <is>
          <t>dlp/2025/christmas-2025-oe</t>
        </is>
      </c>
    </row>
    <row r="98">
      <c r="A98" t="inlineStr">
        <is>
          <t>PHS-0097</t>
        </is>
      </c>
      <c r="B98" t="inlineStr">
        <is>
          <t>Walt Disney Studios Park 'That's a Wrap' jumbo limited edition pin</t>
        </is>
      </c>
      <c r="C98" t="inlineStr">
        <is>
          <t>Disneyland Paris</t>
        </is>
      </c>
      <c r="D98" t="inlineStr"/>
      <c r="E98" t="inlineStr">
        <is>
          <t>2025-11-08</t>
        </is>
      </c>
      <c r="F98" t="n">
        <v>2025</v>
      </c>
      <c r="G98" t="inlineStr"/>
      <c r="H98" t="inlineStr"/>
      <c r="I98" t="inlineStr">
        <is>
          <t>jumbo pin | commemorative LE pin</t>
        </is>
      </c>
      <c r="J98" t="inlineStr"/>
      <c r="K98" t="inlineStr"/>
      <c r="L98" t="inlineStr">
        <is>
          <t>limited edition</t>
        </is>
      </c>
      <c r="M98" t="n">
        <v>800</v>
      </c>
      <c r="N98" t="inlineStr"/>
      <c r="O98" t="inlineStr"/>
      <c r="P98" t="inlineStr"/>
      <c r="Q98" t="inlineStr"/>
      <c r="R98" t="n">
        <v>1</v>
      </c>
      <c r="S98">
        <f>IF(Q98="","",MAX(Q98-R98,0))</f>
        <v/>
      </c>
      <c r="T98" s="3">
        <f>IF(Q98="","",MIN(R98/Q98,1))</f>
        <v/>
      </c>
      <c r="U98" t="inlineStr">
        <is>
          <t>That's a Wrap</t>
        </is>
      </c>
      <c r="V98" t="inlineStr"/>
      <c r="W98" t="inlineStr">
        <is>
          <t>evidenced</t>
        </is>
      </c>
      <c r="X98" t="inlineStr">
        <is>
          <t>Low</t>
        </is>
      </c>
      <c r="Y98" t="inlineStr">
        <is>
          <t>https://disneymouseketeer.com/disneyland-paris-november-2025-pins-preview-sheet-schedule/</t>
        </is>
      </c>
      <c r="Z98" t="inlineStr">
        <is>
          <t>secondary</t>
        </is>
      </c>
      <c r="AA98" t="inlineStr">
        <is>
          <t>https://pixiedustdlp.com/2025/10/28/disneyland-paris-pin-trading-11-2025/</t>
        </is>
      </c>
      <c r="AB98" t="n">
        <v>4</v>
      </c>
      <c r="AC98" t="inlineStr"/>
      <c r="AD98" t="inlineStr"/>
      <c r="AE98" t="inlineStr"/>
      <c r="AF98" t="inlineStr"/>
      <c r="AG98" t="inlineStr">
        <is>
          <t>dlp/2025/thats-a-wrap-walt-disney-studios-jumbo-le-800</t>
        </is>
      </c>
    </row>
    <row r="99">
      <c r="A99" t="inlineStr">
        <is>
          <t>PHS-0098</t>
        </is>
      </c>
      <c r="B99" t="inlineStr">
        <is>
          <t>Mirabel limited edition pin</t>
        </is>
      </c>
      <c r="C99" t="inlineStr">
        <is>
          <t>Disneyland Paris</t>
        </is>
      </c>
      <c r="D99" t="inlineStr"/>
      <c r="E99" t="inlineStr">
        <is>
          <t>2025-11-22</t>
        </is>
      </c>
      <c r="F99" t="n">
        <v>2025</v>
      </c>
      <c r="G99" t="inlineStr"/>
      <c r="H99" t="inlineStr"/>
      <c r="I99" t="inlineStr"/>
      <c r="J99" t="inlineStr"/>
      <c r="K99" t="inlineStr"/>
      <c r="L99" t="inlineStr">
        <is>
          <t>limited edition</t>
        </is>
      </c>
      <c r="M99" t="inlineStr"/>
      <c r="N99" t="inlineStr"/>
      <c r="O99" t="inlineStr"/>
      <c r="P99" t="inlineStr"/>
      <c r="Q99" t="inlineStr"/>
      <c r="R99" t="n">
        <v>1</v>
      </c>
      <c r="S99">
        <f>IF(Q99="","",MAX(Q99-R99,0))</f>
        <v/>
      </c>
      <c r="T99" s="3">
        <f>IF(Q99="","",MIN(R99/Q99,1))</f>
        <v/>
      </c>
      <c r="U99" t="inlineStr">
        <is>
          <t>Mirabel Madrigal</t>
        </is>
      </c>
      <c r="V99" t="inlineStr"/>
      <c r="W99" t="inlineStr">
        <is>
          <t>evidenced</t>
        </is>
      </c>
      <c r="X99" t="inlineStr">
        <is>
          <t>Low</t>
        </is>
      </c>
      <c r="Y99" t="inlineStr">
        <is>
          <t>https://pixiedustdlp.com/2025/10/28/disneyland-paris-pin-trading-11-2025/</t>
        </is>
      </c>
      <c r="Z99" t="inlineStr">
        <is>
          <t>secondary</t>
        </is>
      </c>
      <c r="AA99" t="inlineStr">
        <is>
          <t>https://www.mousesteps.com/2025/10/28/disneyland-paris-november-2025-pins-include-christmas-walt-disney-studios-park/</t>
        </is>
      </c>
      <c r="AB99" t="n">
        <v>3</v>
      </c>
      <c r="AC99" t="inlineStr"/>
      <c r="AD99" t="inlineStr"/>
      <c r="AE99" t="inlineStr"/>
      <c r="AF99" t="inlineStr"/>
      <c r="AG99" t="inlineStr">
        <is>
          <t>dlp/2025/mirabel-le-2025-11-22</t>
        </is>
      </c>
    </row>
    <row r="100">
      <c r="A100" t="inlineStr">
        <is>
          <t>PHS-0099</t>
        </is>
      </c>
      <c r="B100" t="inlineStr">
        <is>
          <t>Winnie the Pooh winter limited edition pin</t>
        </is>
      </c>
      <c r="C100" t="inlineStr">
        <is>
          <t>Disneyland Paris</t>
        </is>
      </c>
      <c r="D100" t="inlineStr"/>
      <c r="E100" t="inlineStr">
        <is>
          <t>2025-11-22</t>
        </is>
      </c>
      <c r="F100" t="n">
        <v>2025</v>
      </c>
      <c r="G100" t="inlineStr"/>
      <c r="H100" t="inlineStr"/>
      <c r="I100" t="inlineStr"/>
      <c r="J100" t="inlineStr"/>
      <c r="K100" t="inlineStr"/>
      <c r="L100" t="inlineStr">
        <is>
          <t>limited edition</t>
        </is>
      </c>
      <c r="M100" t="inlineStr"/>
      <c r="N100" t="inlineStr"/>
      <c r="O100" t="inlineStr"/>
      <c r="P100" t="inlineStr"/>
      <c r="Q100" t="inlineStr"/>
      <c r="R100" t="n">
        <v>1</v>
      </c>
      <c r="S100">
        <f>IF(Q100="","",MAX(Q100-R100,0))</f>
        <v/>
      </c>
      <c r="T100" s="3">
        <f>IF(Q100="","",MIN(R100/Q100,1))</f>
        <v/>
      </c>
      <c r="U100" t="inlineStr">
        <is>
          <t>Winnie the Pooh</t>
        </is>
      </c>
      <c r="V100" t="inlineStr"/>
      <c r="W100" t="inlineStr">
        <is>
          <t>evidenced</t>
        </is>
      </c>
      <c r="X100" t="inlineStr">
        <is>
          <t>Low</t>
        </is>
      </c>
      <c r="Y100" t="inlineStr">
        <is>
          <t>https://pixiedustdlp.com/2025/10/28/disneyland-paris-pin-trading-11-2025/</t>
        </is>
      </c>
      <c r="Z100" t="inlineStr">
        <is>
          <t>secondary</t>
        </is>
      </c>
      <c r="AA100" t="inlineStr">
        <is>
          <t>https://www.mousesteps.com/2025/10/28/disneyland-paris-november-2025-pins-include-christmas-walt-disney-studios-park/</t>
        </is>
      </c>
      <c r="AB100" t="n">
        <v>2</v>
      </c>
      <c r="AC100" t="inlineStr"/>
      <c r="AD100" t="inlineStr"/>
      <c r="AE100" t="inlineStr"/>
      <c r="AF100" t="inlineStr"/>
      <c r="AG100" t="inlineStr">
        <is>
          <t>dlp/2025/winnie-the-pooh-winter-le-2025-11-22</t>
        </is>
      </c>
    </row>
    <row r="101">
      <c r="A101" t="inlineStr">
        <is>
          <t>PHS-0100</t>
        </is>
      </c>
      <c r="B101" t="inlineStr">
        <is>
          <t>Genie 2026-themed pin</t>
        </is>
      </c>
      <c r="C101" t="inlineStr">
        <is>
          <t>Disneyland Paris</t>
        </is>
      </c>
      <c r="D101" t="inlineStr"/>
      <c r="E101" t="inlineStr">
        <is>
          <t>2025-12-06</t>
        </is>
      </c>
      <c r="F101" t="n">
        <v>2025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>
        <f>IF(Q101="","",MAX(Q101-R101,0))</f>
        <v/>
      </c>
      <c r="T101" s="3">
        <f>IF(Q101="","",MIN(R101/Q101,1))</f>
        <v/>
      </c>
      <c r="U101" t="inlineStr">
        <is>
          <t>Genie</t>
        </is>
      </c>
      <c r="V101" t="inlineStr"/>
      <c r="W101" t="inlineStr">
        <is>
          <t>evidenced</t>
        </is>
      </c>
      <c r="X101" t="inlineStr">
        <is>
          <t>Low</t>
        </is>
      </c>
      <c r="Y101" t="inlineStr">
        <is>
          <t>https://pixiedustdlp.com/2025/11/28/disneyland-paris-pin-trading-dec-2025/</t>
        </is>
      </c>
      <c r="Z101" t="inlineStr">
        <is>
          <t>secondary</t>
        </is>
      </c>
      <c r="AA101" t="inlineStr"/>
      <c r="AB101" t="n">
        <v>1</v>
      </c>
      <c r="AC101" t="inlineStr"/>
      <c r="AD101" t="inlineStr"/>
      <c r="AE101" t="inlineStr"/>
      <c r="AF101" t="inlineStr"/>
      <c r="AG101" t="inlineStr">
        <is>
          <t>dlp/2025/genie-2026-2025-12-06</t>
        </is>
      </c>
    </row>
    <row r="102">
      <c r="A102" t="inlineStr">
        <is>
          <t>PHS-0101</t>
        </is>
      </c>
      <c r="B102" t="inlineStr">
        <is>
          <t>Goofy, Max and Powerline limited edition pin</t>
        </is>
      </c>
      <c r="C102" t="inlineStr">
        <is>
          <t>Disneyland Paris</t>
        </is>
      </c>
      <c r="D102" t="inlineStr"/>
      <c r="E102" t="inlineStr">
        <is>
          <t>2025-12-06</t>
        </is>
      </c>
      <c r="F102" t="n">
        <v>2025</v>
      </c>
      <c r="G102" t="inlineStr"/>
      <c r="H102" t="inlineStr"/>
      <c r="I102" t="inlineStr"/>
      <c r="J102" t="inlineStr"/>
      <c r="K102" t="inlineStr"/>
      <c r="L102" t="inlineStr">
        <is>
          <t>limited edition</t>
        </is>
      </c>
      <c r="M102" t="inlineStr"/>
      <c r="N102" t="inlineStr"/>
      <c r="O102" t="inlineStr"/>
      <c r="P102" t="inlineStr"/>
      <c r="Q102" t="inlineStr"/>
      <c r="R102" t="n">
        <v>1</v>
      </c>
      <c r="S102">
        <f>IF(Q102="","",MAX(Q102-R102,0))</f>
        <v/>
      </c>
      <c r="T102" s="3">
        <f>IF(Q102="","",MIN(R102/Q102,1))</f>
        <v/>
      </c>
      <c r="U102" t="inlineStr">
        <is>
          <t>Goofy; Max; Powerline</t>
        </is>
      </c>
      <c r="V102" t="inlineStr"/>
      <c r="W102" t="inlineStr">
        <is>
          <t>evidenced</t>
        </is>
      </c>
      <c r="X102" t="inlineStr">
        <is>
          <t>Low</t>
        </is>
      </c>
      <c r="Y102" t="inlineStr">
        <is>
          <t>https://pixiedustdlp.com/2025/11/28/disneyland-paris-pin-trading-dec-2025/</t>
        </is>
      </c>
      <c r="Z102" t="inlineStr">
        <is>
          <t>secondary</t>
        </is>
      </c>
      <c r="AA102" t="inlineStr"/>
      <c r="AB102" t="n">
        <v>1</v>
      </c>
      <c r="AC102" t="inlineStr"/>
      <c r="AD102" t="inlineStr"/>
      <c r="AE102" t="inlineStr"/>
      <c r="AF102" t="inlineStr"/>
      <c r="AG102" t="inlineStr">
        <is>
          <t>dlp/2025/goofy-max-powerline-le-2025-12-06</t>
        </is>
      </c>
    </row>
    <row r="103">
      <c r="A103" t="inlineStr">
        <is>
          <t>PHS-0102</t>
        </is>
      </c>
      <c r="B103" t="inlineStr">
        <is>
          <t>Quasimodo limited edition pin (December)</t>
        </is>
      </c>
      <c r="C103" t="inlineStr">
        <is>
          <t>Disneyland Paris</t>
        </is>
      </c>
      <c r="D103" t="inlineStr"/>
      <c r="E103" t="inlineStr">
        <is>
          <t>2025-12-06</t>
        </is>
      </c>
      <c r="F103" t="n">
        <v>2025</v>
      </c>
      <c r="G103" t="inlineStr"/>
      <c r="H103" t="inlineStr"/>
      <c r="I103" t="inlineStr"/>
      <c r="J103" t="inlineStr"/>
      <c r="K103" t="inlineStr"/>
      <c r="L103" t="inlineStr">
        <is>
          <t>limited edition</t>
        </is>
      </c>
      <c r="M103" t="inlineStr"/>
      <c r="N103" t="inlineStr"/>
      <c r="O103" t="inlineStr"/>
      <c r="P103" t="inlineStr"/>
      <c r="Q103" t="inlineStr"/>
      <c r="R103" t="n">
        <v>1</v>
      </c>
      <c r="S103">
        <f>IF(Q103="","",MAX(Q103-R103,0))</f>
        <v/>
      </c>
      <c r="T103" s="3">
        <f>IF(Q103="","",MIN(R103/Q103,1))</f>
        <v/>
      </c>
      <c r="U103" t="inlineStr">
        <is>
          <t>Quasimodo</t>
        </is>
      </c>
      <c r="V103" t="inlineStr"/>
      <c r="W103" t="inlineStr">
        <is>
          <t>evidenced</t>
        </is>
      </c>
      <c r="X103" t="inlineStr">
        <is>
          <t>Low</t>
        </is>
      </c>
      <c r="Y103" t="inlineStr">
        <is>
          <t>https://pixiedustdlp.com/2025/11/28/disneyland-paris-pin-trading-dec-2025/</t>
        </is>
      </c>
      <c r="Z103" t="inlineStr">
        <is>
          <t>secondary</t>
        </is>
      </c>
      <c r="AA103" t="inlineStr"/>
      <c r="AB103" t="n">
        <v>1</v>
      </c>
      <c r="AC103" t="inlineStr"/>
      <c r="AD103" t="inlineStr"/>
      <c r="AE103" t="inlineStr"/>
      <c r="AF103" t="inlineStr"/>
      <c r="AG103" t="inlineStr">
        <is>
          <t>dlp/2025/quasimodo-le-2025-12-06</t>
        </is>
      </c>
    </row>
    <row r="104">
      <c r="A104" t="inlineStr">
        <is>
          <t>PHS-0103</t>
        </is>
      </c>
      <c r="B104" t="inlineStr">
        <is>
          <t>Kuzco limited edition pin (December)</t>
        </is>
      </c>
      <c r="C104" t="inlineStr">
        <is>
          <t>Disneyland Paris</t>
        </is>
      </c>
      <c r="D104" t="inlineStr"/>
      <c r="E104" t="inlineStr">
        <is>
          <t>2025-12-20</t>
        </is>
      </c>
      <c r="F104" t="n">
        <v>2025</v>
      </c>
      <c r="G104" t="inlineStr"/>
      <c r="H104" t="inlineStr"/>
      <c r="I104" t="inlineStr"/>
      <c r="J104" t="inlineStr"/>
      <c r="K104" t="inlineStr"/>
      <c r="L104" t="inlineStr">
        <is>
          <t>limited edition</t>
        </is>
      </c>
      <c r="M104" t="inlineStr"/>
      <c r="N104" t="inlineStr"/>
      <c r="O104" t="inlineStr"/>
      <c r="P104" t="inlineStr"/>
      <c r="Q104" t="inlineStr"/>
      <c r="R104" t="n">
        <v>1</v>
      </c>
      <c r="S104">
        <f>IF(Q104="","",MAX(Q104-R104,0))</f>
        <v/>
      </c>
      <c r="T104" s="3">
        <f>IF(Q104="","",MIN(R104/Q104,1))</f>
        <v/>
      </c>
      <c r="U104" t="inlineStr">
        <is>
          <t>Kuzco</t>
        </is>
      </c>
      <c r="V104" t="inlineStr"/>
      <c r="W104" t="inlineStr">
        <is>
          <t>evidenced</t>
        </is>
      </c>
      <c r="X104" t="inlineStr">
        <is>
          <t>Low</t>
        </is>
      </c>
      <c r="Y104" t="inlineStr">
        <is>
          <t>https://pixiedustdlp.com/2025/11/28/disneyland-paris-pin-trading-dec-2025/</t>
        </is>
      </c>
      <c r="Z104" t="inlineStr">
        <is>
          <t>secondary</t>
        </is>
      </c>
      <c r="AA104" t="inlineStr"/>
      <c r="AB104" t="n">
        <v>1</v>
      </c>
      <c r="AC104" t="inlineStr"/>
      <c r="AD104" t="inlineStr"/>
      <c r="AE104" t="inlineStr"/>
      <c r="AF104" t="inlineStr"/>
      <c r="AG104" t="inlineStr">
        <is>
          <t>dlp/2025/kuzco-le-2025-12-20</t>
        </is>
      </c>
    </row>
    <row r="105">
      <c r="A105" t="inlineStr">
        <is>
          <t>PHS-0104</t>
        </is>
      </c>
      <c r="B105" t="inlineStr">
        <is>
          <t>Tarot Series - Genie</t>
        </is>
      </c>
      <c r="C105" t="inlineStr">
        <is>
          <t>Disneyland Paris</t>
        </is>
      </c>
      <c r="D105" t="inlineStr"/>
      <c r="E105" t="inlineStr">
        <is>
          <t>2026-01-17</t>
        </is>
      </c>
      <c r="F105" t="n">
        <v>2026</v>
      </c>
      <c r="G105" t="inlineStr"/>
      <c r="H105" t="inlineStr">
        <is>
          <t>Collector's Card collection</t>
        </is>
      </c>
      <c r="I105" t="inlineStr"/>
      <c r="J105" t="inlineStr"/>
      <c r="K105" t="inlineStr"/>
      <c r="L105" t="inlineStr">
        <is>
          <t>limited edition</t>
        </is>
      </c>
      <c r="M105" t="inlineStr"/>
      <c r="N105" t="inlineStr"/>
      <c r="O105" t="inlineStr"/>
      <c r="P105" t="inlineStr"/>
      <c r="Q105" t="inlineStr"/>
      <c r="R105" t="n">
        <v>1</v>
      </c>
      <c r="S105">
        <f>IF(Q105="","",MAX(Q105-R105,0))</f>
        <v/>
      </c>
      <c r="T105" s="3">
        <f>IF(Q105="","",MIN(R105/Q105,1))</f>
        <v/>
      </c>
      <c r="U105" t="inlineStr">
        <is>
          <t>Genie</t>
        </is>
      </c>
      <c r="V105" t="inlineStr"/>
      <c r="W105" t="inlineStr">
        <is>
          <t>evidenced</t>
        </is>
      </c>
      <c r="X105" t="inlineStr">
        <is>
          <t>Low</t>
        </is>
      </c>
      <c r="Y105" t="inlineStr">
        <is>
          <t>https://pixiedustdlp.com/2025/12/30/disneyland-paris-pin-trading-01-2026/</t>
        </is>
      </c>
      <c r="Z105" t="inlineStr">
        <is>
          <t>secondary</t>
        </is>
      </c>
      <c r="AA105" t="inlineStr">
        <is>
          <t>https://www.mousesteps.com/2025/12/30/disneyland-paris-january-2026-pins-revealed/</t>
        </is>
      </c>
      <c r="AB105" t="n">
        <v>2</v>
      </c>
      <c r="AC105" t="inlineStr"/>
      <c r="AD105" t="inlineStr"/>
      <c r="AE105" t="inlineStr"/>
      <c r="AF105" t="inlineStr"/>
      <c r="AG105" t="inlineStr">
        <is>
          <t>dlp/2026/tarot-series-genie</t>
        </is>
      </c>
    </row>
    <row r="106">
      <c r="A106" t="inlineStr">
        <is>
          <t>PHS-0105</t>
        </is>
      </c>
      <c r="B106" t="inlineStr">
        <is>
          <t>Lady, Figaro and Dalmatians open edition pins</t>
        </is>
      </c>
      <c r="C106" t="inlineStr">
        <is>
          <t>Disneyland Paris</t>
        </is>
      </c>
      <c r="D106" t="inlineStr"/>
      <c r="E106" t="inlineStr">
        <is>
          <t>2026-01-24</t>
        </is>
      </c>
      <c r="F106" t="n">
        <v>2026</v>
      </c>
      <c r="G106" t="inlineStr"/>
      <c r="H106" t="inlineStr"/>
      <c r="I106" t="inlineStr"/>
      <c r="J106" t="inlineStr"/>
      <c r="K106" t="inlineStr"/>
      <c r="L106" t="inlineStr">
        <is>
          <t>open edition</t>
        </is>
      </c>
      <c r="M106" t="inlineStr"/>
      <c r="N106" t="inlineStr"/>
      <c r="O106" t="inlineStr"/>
      <c r="P106" t="inlineStr"/>
      <c r="Q106" t="inlineStr"/>
      <c r="R106" t="n">
        <v>3</v>
      </c>
      <c r="S106">
        <f>IF(Q106="","",MAX(Q106-R106,0))</f>
        <v/>
      </c>
      <c r="T106" s="3">
        <f>IF(Q106="","",MIN(R106/Q106,1))</f>
        <v/>
      </c>
      <c r="U106" t="inlineStr">
        <is>
          <t>Dalmatians; Figaro; Lady</t>
        </is>
      </c>
      <c r="V106" t="inlineStr"/>
      <c r="W106" t="inlineStr">
        <is>
          <t>evidenced</t>
        </is>
      </c>
      <c r="X106" t="inlineStr">
        <is>
          <t>Low</t>
        </is>
      </c>
      <c r="Y106" t="inlineStr">
        <is>
          <t>https://pixiedustdlp.com/2025/12/30/disneyland-paris-pin-trading-01-2026/</t>
        </is>
      </c>
      <c r="Z106" t="inlineStr">
        <is>
          <t>secondary</t>
        </is>
      </c>
      <c r="AA106" t="inlineStr">
        <is>
          <t>https://www.mousesteps.com/2025/12/30/disneyland-paris-january-2026-pins-revealed/</t>
        </is>
      </c>
      <c r="AB106" t="n">
        <v>2</v>
      </c>
      <c r="AC106" t="inlineStr"/>
      <c r="AD106" t="inlineStr"/>
      <c r="AE106" t="inlineStr"/>
      <c r="AF106" t="inlineStr"/>
      <c r="AG106" t="inlineStr">
        <is>
          <t>dlp/2026/cats-and-dogs-open-edition-jan</t>
        </is>
      </c>
    </row>
    <row r="107">
      <c r="A107" t="inlineStr">
        <is>
          <t>PHS-0106</t>
        </is>
      </c>
      <c r="B107" t="inlineStr">
        <is>
          <t>Voyage Series - Hercules</t>
        </is>
      </c>
      <c r="C107" t="inlineStr">
        <is>
          <t>Disneyland Paris</t>
        </is>
      </c>
      <c r="D107" t="inlineStr"/>
      <c r="E107" t="inlineStr">
        <is>
          <t>2026-01-24</t>
        </is>
      </c>
      <c r="F107" t="n">
        <v>2026</v>
      </c>
      <c r="G107" t="inlineStr"/>
      <c r="H107" t="inlineStr">
        <is>
          <t>Travel Collection</t>
        </is>
      </c>
      <c r="I107" t="inlineStr"/>
      <c r="J107" t="inlineStr"/>
      <c r="K107" t="inlineStr"/>
      <c r="L107" t="inlineStr">
        <is>
          <t>limited edition</t>
        </is>
      </c>
      <c r="M107" t="inlineStr"/>
      <c r="N107" t="inlineStr"/>
      <c r="O107" t="inlineStr"/>
      <c r="P107" t="inlineStr"/>
      <c r="Q107" t="inlineStr"/>
      <c r="R107" t="n">
        <v>1</v>
      </c>
      <c r="S107">
        <f>IF(Q107="","",MAX(Q107-R107,0))</f>
        <v/>
      </c>
      <c r="T107" s="3">
        <f>IF(Q107="","",MIN(R107/Q107,1))</f>
        <v/>
      </c>
      <c r="U107" t="inlineStr">
        <is>
          <t>Hercules</t>
        </is>
      </c>
      <c r="V107" t="inlineStr"/>
      <c r="W107" t="inlineStr">
        <is>
          <t>evidenced</t>
        </is>
      </c>
      <c r="X107" t="inlineStr">
        <is>
          <t>Low</t>
        </is>
      </c>
      <c r="Y107" t="inlineStr">
        <is>
          <t>https://pixiedustdlp.com/2025/12/30/disneyland-paris-pin-trading-01-2026/</t>
        </is>
      </c>
      <c r="Z107" t="inlineStr">
        <is>
          <t>secondary</t>
        </is>
      </c>
      <c r="AA107" t="inlineStr">
        <is>
          <t>https://www.mousesteps.com/2025/12/30/disneyland-paris-january-2026-pins-revealed/</t>
        </is>
      </c>
      <c r="AB107" t="n">
        <v>2</v>
      </c>
      <c r="AC107" t="inlineStr"/>
      <c r="AD107" t="inlineStr"/>
      <c r="AE107" t="inlineStr"/>
      <c r="AF107" t="inlineStr"/>
      <c r="AG107" t="inlineStr">
        <is>
          <t>dlp/2026/voyage-series-hercules</t>
        </is>
      </c>
    </row>
    <row r="108">
      <c r="A108" t="inlineStr">
        <is>
          <t>PHS-0107</t>
        </is>
      </c>
      <c r="B108" t="inlineStr">
        <is>
          <t>World of Frozen countdown pin</t>
        </is>
      </c>
      <c r="C108" t="inlineStr">
        <is>
          <t>Disneyland Paris</t>
        </is>
      </c>
      <c r="D108" t="inlineStr"/>
      <c r="E108" t="inlineStr">
        <is>
          <t>2026-01-29</t>
        </is>
      </c>
      <c r="F108" t="n">
        <v>2026</v>
      </c>
      <c r="G108" t="inlineStr"/>
      <c r="H108" t="inlineStr"/>
      <c r="I108" t="inlineStr"/>
      <c r="J108" t="inlineStr"/>
      <c r="K108" t="inlineStr"/>
      <c r="L108" t="inlineStr">
        <is>
          <t>limited edition</t>
        </is>
      </c>
      <c r="M108" t="n">
        <v>1000</v>
      </c>
      <c r="N108" t="inlineStr"/>
      <c r="O108" t="inlineStr"/>
      <c r="P108" t="inlineStr"/>
      <c r="Q108" t="inlineStr"/>
      <c r="R108" t="n">
        <v>1</v>
      </c>
      <c r="S108">
        <f>IF(Q108="","",MAX(Q108-R108,0))</f>
        <v/>
      </c>
      <c r="T108" s="3">
        <f>IF(Q108="","",MIN(R108/Q108,1))</f>
        <v/>
      </c>
      <c r="U108" t="inlineStr">
        <is>
          <t>come-visit-world-of-frozen</t>
        </is>
      </c>
      <c r="V108" t="inlineStr"/>
      <c r="W108" t="inlineStr">
        <is>
          <t>evidenced</t>
        </is>
      </c>
      <c r="X108" t="inlineStr">
        <is>
          <t>Low</t>
        </is>
      </c>
      <c r="Y108" t="inlineStr">
        <is>
          <t>https://pixiedustdlp.com/2025/12/30/disneyland-paris-pin-trading-01-2026/</t>
        </is>
      </c>
      <c r="Z108" t="inlineStr">
        <is>
          <t>secondary</t>
        </is>
      </c>
      <c r="AA108" t="inlineStr">
        <is>
          <t>https://pixiedustdlp.com/2026/01/27/world-of-frozen-countdown-exclusive-pin/</t>
        </is>
      </c>
      <c r="AB108" t="n">
        <v>2</v>
      </c>
      <c r="AC108" t="inlineStr"/>
      <c r="AD108" t="inlineStr"/>
      <c r="AE108" t="inlineStr"/>
      <c r="AF108" t="inlineStr"/>
      <c r="AG108" t="inlineStr">
        <is>
          <t>dlp/2026/world-of-frozen-countdown-2-months</t>
        </is>
      </c>
    </row>
    <row r="109">
      <c r="A109" t="inlineStr">
        <is>
          <t>PHS-0108</t>
        </is>
      </c>
      <c r="B109" t="inlineStr">
        <is>
          <t>Series Tarot - Mad Hatter</t>
        </is>
      </c>
      <c r="C109" t="inlineStr">
        <is>
          <t>Disneyland Paris</t>
        </is>
      </c>
      <c r="D109" t="inlineStr"/>
      <c r="E109" t="inlineStr">
        <is>
          <t>2026-02-07</t>
        </is>
      </c>
      <c r="F109" t="n">
        <v>2026</v>
      </c>
      <c r="G109" t="inlineStr"/>
      <c r="H109" t="inlineStr">
        <is>
          <t>Tarot</t>
        </is>
      </c>
      <c r="I109" t="inlineStr"/>
      <c r="J109" t="inlineStr"/>
      <c r="K109" t="inlineStr"/>
      <c r="L109" t="inlineStr">
        <is>
          <t>limited edition</t>
        </is>
      </c>
      <c r="M109" t="n">
        <v>800</v>
      </c>
      <c r="N109" t="n">
        <v>20</v>
      </c>
      <c r="O109" t="inlineStr">
        <is>
          <t>EUR</t>
        </is>
      </c>
      <c r="P109" t="inlineStr"/>
      <c r="Q109" t="inlineStr"/>
      <c r="R109" t="n">
        <v>1</v>
      </c>
      <c r="S109">
        <f>IF(Q109="","",MAX(Q109-R109,0))</f>
        <v/>
      </c>
      <c r="T109" s="3">
        <f>IF(Q109="","",MIN(R109/Q109,1))</f>
        <v/>
      </c>
      <c r="U109" t="inlineStr">
        <is>
          <t>Mad Hatter</t>
        </is>
      </c>
      <c r="V109" t="inlineStr"/>
      <c r="W109" t="inlineStr">
        <is>
          <t>evidenced</t>
        </is>
      </c>
      <c r="X109" t="inlineStr">
        <is>
          <t>Low</t>
        </is>
      </c>
      <c r="Y109" t="inlineStr">
        <is>
          <t>https://mypincentral.com/blog_post/pin-releases-disneyland-paris-disneyland-paris-flyer-for-february-2026</t>
        </is>
      </c>
      <c r="Z109" t="inlineStr">
        <is>
          <t>secondary</t>
        </is>
      </c>
      <c r="AA109" t="inlineStr">
        <is>
          <t>https://pixiedustdlp.com/2026/01/30/disneyland-paris-pin-trading-febr-2026/</t>
        </is>
      </c>
      <c r="AB109" t="n">
        <v>3</v>
      </c>
      <c r="AC109" t="inlineStr"/>
      <c r="AD109" t="inlineStr"/>
      <c r="AE109" t="inlineStr"/>
      <c r="AF109" t="inlineStr"/>
      <c r="AG109" t="inlineStr">
        <is>
          <t>dlp/2026/tarot-series-mad-hatter</t>
        </is>
      </c>
    </row>
    <row r="110">
      <c r="A110" t="inlineStr">
        <is>
          <t>PHS-0109</t>
        </is>
      </c>
      <c r="B110" t="inlineStr">
        <is>
          <t>Love on Clouds (Valentine's)</t>
        </is>
      </c>
      <c r="C110" t="inlineStr">
        <is>
          <t>Disneyland Paris</t>
        </is>
      </c>
      <c r="D110" t="inlineStr"/>
      <c r="E110" t="inlineStr">
        <is>
          <t>2026-02-07</t>
        </is>
      </c>
      <c r="F110" t="n">
        <v>2026</v>
      </c>
      <c r="G110" t="inlineStr"/>
      <c r="H110" t="inlineStr"/>
      <c r="I110" t="inlineStr"/>
      <c r="J110" t="inlineStr"/>
      <c r="K110" t="inlineStr"/>
      <c r="L110" t="inlineStr">
        <is>
          <t>open edition</t>
        </is>
      </c>
      <c r="M110" t="inlineStr"/>
      <c r="N110" t="n">
        <v>12</v>
      </c>
      <c r="O110" t="inlineStr">
        <is>
          <t>EUR</t>
        </is>
      </c>
      <c r="P110" t="inlineStr"/>
      <c r="Q110" t="inlineStr"/>
      <c r="R110" t="n">
        <v>3</v>
      </c>
      <c r="S110">
        <f>IF(Q110="","",MAX(Q110-R110,0))</f>
        <v/>
      </c>
      <c r="T110" s="3">
        <f>IF(Q110="","",MIN(R110/Q110,1))</f>
        <v/>
      </c>
      <c r="U110" t="inlineStr">
        <is>
          <t>Jack Skellington; Sally; Mickey Mouse; Minnie Mouse; Angel; Lilo; Stitch</t>
        </is>
      </c>
      <c r="V110" t="inlineStr"/>
      <c r="W110" t="inlineStr">
        <is>
          <t>evidenced</t>
        </is>
      </c>
      <c r="X110" t="inlineStr">
        <is>
          <t>Low</t>
        </is>
      </c>
      <c r="Y110" t="inlineStr">
        <is>
          <t>https://mypincentral.com/blog_post/pin-releases-disneyland-paris-disneyland-paris-flyer-for-february-2026</t>
        </is>
      </c>
      <c r="Z110" t="inlineStr">
        <is>
          <t>secondary</t>
        </is>
      </c>
      <c r="AA110" t="inlineStr">
        <is>
          <t>https://pixiedustdlp.com/2026/01/30/disneyland-paris-pin-trading-febr-2026/</t>
        </is>
      </c>
      <c r="AB110" t="n">
        <v>3</v>
      </c>
      <c r="AC110" t="inlineStr"/>
      <c r="AD110" t="inlineStr"/>
      <c r="AE110" t="inlineStr"/>
      <c r="AF110" t="inlineStr"/>
      <c r="AG110" t="inlineStr">
        <is>
          <t>dlp/2026/valentines-love-on-clouds</t>
        </is>
      </c>
    </row>
    <row r="111">
      <c r="A111" t="inlineStr">
        <is>
          <t>PHS-0110</t>
        </is>
      </c>
      <c r="B111" t="inlineStr">
        <is>
          <t>Prince 'Love' pins</t>
        </is>
      </c>
      <c r="C111" t="inlineStr">
        <is>
          <t>Disneyland Paris</t>
        </is>
      </c>
      <c r="D111" t="inlineStr"/>
      <c r="E111" t="inlineStr">
        <is>
          <t>2026-02-14</t>
        </is>
      </c>
      <c r="F111" t="n">
        <v>2026</v>
      </c>
      <c r="G111" t="inlineStr"/>
      <c r="H111" t="inlineStr"/>
      <c r="I111" t="inlineStr"/>
      <c r="J111" t="inlineStr"/>
      <c r="K111" t="inlineStr"/>
      <c r="L111" t="inlineStr">
        <is>
          <t>open edition</t>
        </is>
      </c>
      <c r="M111" t="inlineStr"/>
      <c r="N111" t="inlineStr"/>
      <c r="O111" t="inlineStr"/>
      <c r="P111" t="inlineStr"/>
      <c r="Q111" t="inlineStr"/>
      <c r="R111" t="n">
        <v>4</v>
      </c>
      <c r="S111">
        <f>IF(Q111="","",MAX(Q111-R111,0))</f>
        <v/>
      </c>
      <c r="T111" s="3">
        <f>IF(Q111="","",MIN(R111/Q111,1))</f>
        <v/>
      </c>
      <c r="U111" t="inlineStr">
        <is>
          <t>Aladdin; Prince Eric; Flynn Rider; Prince Phillip</t>
        </is>
      </c>
      <c r="V111" t="inlineStr"/>
      <c r="W111" t="inlineStr">
        <is>
          <t>evidenced (held)</t>
        </is>
      </c>
      <c r="X111" t="inlineStr">
        <is>
          <t>Low</t>
        </is>
      </c>
      <c r="Y111" t="inlineStr">
        <is>
          <t>https://pixiedustdlp.com/2026/01/30/disneyland-paris-pin-trading-febr-2026/</t>
        </is>
      </c>
      <c r="Z111" t="inlineStr">
        <is>
          <t>secondary</t>
        </is>
      </c>
      <c r="AA111" t="inlineStr">
        <is>
          <t>https://www.mousesteps.com/2026/01/30/disneyland-paris-february-2026-pins-revealed-including-valentines-day-world-of-frozen/</t>
        </is>
      </c>
      <c r="AB111" t="n">
        <v>2</v>
      </c>
      <c r="AC111" t="inlineStr"/>
      <c r="AD111" t="inlineStr"/>
      <c r="AE111" t="inlineStr"/>
      <c r="AF111" t="inlineStr"/>
      <c r="AG111" t="inlineStr">
        <is>
          <t>dlp/2026/prince-love-open-edition</t>
        </is>
      </c>
    </row>
    <row r="112">
      <c r="A112" t="inlineStr">
        <is>
          <t>PHS-0111</t>
        </is>
      </c>
      <c r="B112" t="inlineStr">
        <is>
          <t>Saint Valentine 2026</t>
        </is>
      </c>
      <c r="C112" t="inlineStr">
        <is>
          <t>Disneyland Paris</t>
        </is>
      </c>
      <c r="D112" t="inlineStr"/>
      <c r="E112" t="inlineStr">
        <is>
          <t>2026-02-14</t>
        </is>
      </c>
      <c r="F112" t="n">
        <v>2026</v>
      </c>
      <c r="G112" t="inlineStr"/>
      <c r="H112" t="inlineStr"/>
      <c r="I112" t="inlineStr"/>
      <c r="J112" t="inlineStr"/>
      <c r="K112" t="inlineStr"/>
      <c r="L112" t="inlineStr">
        <is>
          <t>limited edition</t>
        </is>
      </c>
      <c r="M112" t="n">
        <v>800</v>
      </c>
      <c r="N112" t="n">
        <v>18</v>
      </c>
      <c r="O112" t="inlineStr">
        <is>
          <t>EUR</t>
        </is>
      </c>
      <c r="P112" t="inlineStr"/>
      <c r="Q112" t="inlineStr"/>
      <c r="R112" t="n">
        <v>1</v>
      </c>
      <c r="S112">
        <f>IF(Q112="","",MAX(Q112-R112,0))</f>
        <v/>
      </c>
      <c r="T112" s="3">
        <f>IF(Q112="","",MIN(R112/Q112,1))</f>
        <v/>
      </c>
      <c r="U112" t="inlineStr">
        <is>
          <t>Babette; Fifi; Lumiere; Plumette</t>
        </is>
      </c>
      <c r="V112" t="inlineStr"/>
      <c r="W112" t="inlineStr">
        <is>
          <t>evidenced</t>
        </is>
      </c>
      <c r="X112" t="inlineStr">
        <is>
          <t>Low</t>
        </is>
      </c>
      <c r="Y112" t="inlineStr">
        <is>
          <t>https://mypincentral.com/blog_post/pin-releases-disneyland-paris-disneyland-paris-flyer-for-february-2026</t>
        </is>
      </c>
      <c r="Z112" t="inlineStr">
        <is>
          <t>secondary</t>
        </is>
      </c>
      <c r="AA112" t="inlineStr">
        <is>
          <t>https://pixiedustdlp.com/2026/01/30/disneyland-paris-pin-trading-febr-2026/</t>
        </is>
      </c>
      <c r="AB112" t="n">
        <v>3</v>
      </c>
      <c r="AC112" t="inlineStr"/>
      <c r="AD112" t="inlineStr"/>
      <c r="AE112" t="inlineStr"/>
      <c r="AF112" t="inlineStr"/>
      <c r="AG112" t="inlineStr">
        <is>
          <t>dlp/2026/saint-valentine-2026</t>
        </is>
      </c>
    </row>
    <row r="113">
      <c r="A113" t="inlineStr">
        <is>
          <t>PHS-0112</t>
        </is>
      </c>
      <c r="B113" t="inlineStr">
        <is>
          <t>Voyage Series - Stitch (Hawaii)</t>
        </is>
      </c>
      <c r="C113" t="inlineStr">
        <is>
          <t>Disneyland Paris</t>
        </is>
      </c>
      <c r="D113" t="inlineStr"/>
      <c r="E113" t="inlineStr">
        <is>
          <t>2026-02-14</t>
        </is>
      </c>
      <c r="F113" t="n">
        <v>2026</v>
      </c>
      <c r="G113" t="inlineStr"/>
      <c r="H113" t="inlineStr"/>
      <c r="I113" t="inlineStr"/>
      <c r="J113" t="inlineStr"/>
      <c r="K113" t="inlineStr"/>
      <c r="L113" t="inlineStr">
        <is>
          <t>limited edition</t>
        </is>
      </c>
      <c r="M113" t="n">
        <v>800</v>
      </c>
      <c r="N113" t="n">
        <v>20</v>
      </c>
      <c r="O113" t="inlineStr">
        <is>
          <t>EUR</t>
        </is>
      </c>
      <c r="P113" t="inlineStr"/>
      <c r="Q113" t="inlineStr"/>
      <c r="R113" t="n">
        <v>1</v>
      </c>
      <c r="S113">
        <f>IF(Q113="","",MAX(Q113-R113,0))</f>
        <v/>
      </c>
      <c r="T113" s="3">
        <f>IF(Q113="","",MIN(R113/Q113,1))</f>
        <v/>
      </c>
      <c r="U113" t="inlineStr">
        <is>
          <t>Stitch</t>
        </is>
      </c>
      <c r="V113" t="inlineStr"/>
      <c r="W113" t="inlineStr">
        <is>
          <t>evidenced</t>
        </is>
      </c>
      <c r="X113" t="inlineStr">
        <is>
          <t>Low</t>
        </is>
      </c>
      <c r="Y113" t="inlineStr">
        <is>
          <t>https://mypincentral.com/blog_post/pin-releases-disneyland-paris-disneyland-paris-flyer-for-february-2026</t>
        </is>
      </c>
      <c r="Z113" t="inlineStr">
        <is>
          <t>secondary</t>
        </is>
      </c>
      <c r="AA113" t="inlineStr">
        <is>
          <t>https://pixiedustdlp.com/2026/01/30/disneyland-paris-pin-trading-febr-2026/</t>
        </is>
      </c>
      <c r="AB113" t="n">
        <v>3</v>
      </c>
      <c r="AC113" t="inlineStr"/>
      <c r="AD113" t="inlineStr"/>
      <c r="AE113" t="inlineStr"/>
      <c r="AF113" t="inlineStr"/>
      <c r="AG113" t="inlineStr">
        <is>
          <t>dlp/2026/voyage-series-stitch-hawaii</t>
        </is>
      </c>
    </row>
    <row r="114">
      <c r="A114" t="inlineStr">
        <is>
          <t>PHS-0113</t>
        </is>
      </c>
      <c r="B114" t="inlineStr">
        <is>
          <t>World of Frozen jumbo pin</t>
        </is>
      </c>
      <c r="C114" t="inlineStr">
        <is>
          <t>Disneyland Paris</t>
        </is>
      </c>
      <c r="D114" t="inlineStr"/>
      <c r="E114" t="inlineStr">
        <is>
          <t>2026-02-28</t>
        </is>
      </c>
      <c r="F114" t="n">
        <v>2026</v>
      </c>
      <c r="G114" t="inlineStr"/>
      <c r="H114" t="inlineStr"/>
      <c r="I114" t="inlineStr">
        <is>
          <t>jumbo</t>
        </is>
      </c>
      <c r="J114" t="inlineStr"/>
      <c r="K114" t="inlineStr"/>
      <c r="L114" t="inlineStr">
        <is>
          <t>limited edition</t>
        </is>
      </c>
      <c r="M114" t="n">
        <v>1000</v>
      </c>
      <c r="N114" t="inlineStr"/>
      <c r="O114" t="inlineStr"/>
      <c r="P114" t="inlineStr"/>
      <c r="Q114" t="inlineStr"/>
      <c r="R114" t="n">
        <v>1</v>
      </c>
      <c r="S114">
        <f>IF(Q114="","",MAX(Q114-R114,0))</f>
        <v/>
      </c>
      <c r="T114" s="3">
        <f>IF(Q114="","",MIN(R114/Q114,1))</f>
        <v/>
      </c>
      <c r="U114" t="inlineStr">
        <is>
          <t>Anna; Elsa; Kristoff; Olaf; Sven</t>
        </is>
      </c>
      <c r="V114" t="inlineStr"/>
      <c r="W114" t="inlineStr">
        <is>
          <t>evidenced</t>
        </is>
      </c>
      <c r="X114" t="inlineStr">
        <is>
          <t>Low</t>
        </is>
      </c>
      <c r="Y114" t="inlineStr">
        <is>
          <t>https://pixiedustdlp.com/2026/01/30/disneyland-paris-pin-trading-febr-2026/</t>
        </is>
      </c>
      <c r="Z114" t="inlineStr">
        <is>
          <t>secondary</t>
        </is>
      </c>
      <c r="AA114" t="inlineStr">
        <is>
          <t>https://www.mousesteps.com/2026/01/30/disneyland-paris-february-2026-pins-revealed-including-valentines-day-world-of-frozen/</t>
        </is>
      </c>
      <c r="AB114" t="n">
        <v>2</v>
      </c>
      <c r="AC114" t="inlineStr"/>
      <c r="AD114" t="inlineStr"/>
      <c r="AE114" t="inlineStr"/>
      <c r="AF114" t="inlineStr"/>
      <c r="AG114" t="inlineStr">
        <is>
          <t>dlp/2026/world-of-frozen-jumbo</t>
        </is>
      </c>
    </row>
    <row r="115">
      <c r="A115" t="inlineStr">
        <is>
          <t>PHS-0114</t>
        </is>
      </c>
      <c r="B115" t="inlineStr">
        <is>
          <t>Princess open edition pins (Ariel, Jasmine)</t>
        </is>
      </c>
      <c r="C115" t="inlineStr">
        <is>
          <t>Disneyland Paris</t>
        </is>
      </c>
      <c r="D115" t="inlineStr"/>
      <c r="E115" t="inlineStr">
        <is>
          <t>2026-03-07</t>
        </is>
      </c>
      <c r="F115" t="n">
        <v>2026</v>
      </c>
      <c r="G115" t="inlineStr"/>
      <c r="H115" t="inlineStr"/>
      <c r="I115" t="inlineStr"/>
      <c r="J115" t="inlineStr"/>
      <c r="K115" t="inlineStr"/>
      <c r="L115" t="inlineStr">
        <is>
          <t>open edition</t>
        </is>
      </c>
      <c r="M115" t="inlineStr"/>
      <c r="N115" t="inlineStr"/>
      <c r="O115" t="inlineStr"/>
      <c r="P115" t="inlineStr"/>
      <c r="Q115" t="inlineStr"/>
      <c r="R115" t="n">
        <v>2</v>
      </c>
      <c r="S115">
        <f>IF(Q115="","",MAX(Q115-R115,0))</f>
        <v/>
      </c>
      <c r="T115" s="3">
        <f>IF(Q115="","",MIN(R115/Q115,1))</f>
        <v/>
      </c>
      <c r="U115" t="inlineStr">
        <is>
          <t>Ariel; Jasmine</t>
        </is>
      </c>
      <c r="V115" t="inlineStr"/>
      <c r="W115" t="inlineStr">
        <is>
          <t>evidenced</t>
        </is>
      </c>
      <c r="X115" t="inlineStr">
        <is>
          <t>Low</t>
        </is>
      </c>
      <c r="Y115" t="inlineStr">
        <is>
          <t>https://disneymouseketeer.com/disneyland-paris-march-2026-pins-preview-sheet-schedule/</t>
        </is>
      </c>
      <c r="Z115" t="inlineStr">
        <is>
          <t>secondary</t>
        </is>
      </c>
      <c r="AA115" t="inlineStr">
        <is>
          <t>https://disneypinsblog.com/disneyland-paris-march-2026-pin-releases/</t>
        </is>
      </c>
      <c r="AB115" t="n">
        <v>3</v>
      </c>
      <c r="AC115" t="inlineStr"/>
      <c r="AD115" t="inlineStr"/>
      <c r="AE115" t="inlineStr"/>
      <c r="AF115" t="inlineStr"/>
      <c r="AG115" t="inlineStr">
        <is>
          <t>dlp/2026/princess-open-edition-march</t>
        </is>
      </c>
    </row>
    <row r="116">
      <c r="A116" t="inlineStr">
        <is>
          <t>PHS-0115</t>
        </is>
      </c>
      <c r="B116" t="inlineStr">
        <is>
          <t>St. Patrick's Day - Prince John</t>
        </is>
      </c>
      <c r="C116" t="inlineStr">
        <is>
          <t>Disneyland Paris</t>
        </is>
      </c>
      <c r="D116" t="inlineStr"/>
      <c r="E116" t="inlineStr">
        <is>
          <t>2026-03-14</t>
        </is>
      </c>
      <c r="F116" t="n">
        <v>2026</v>
      </c>
      <c r="G116" t="inlineStr"/>
      <c r="H116" t="inlineStr"/>
      <c r="I116" t="inlineStr"/>
      <c r="J116" t="inlineStr"/>
      <c r="K116" t="inlineStr"/>
      <c r="L116" t="inlineStr">
        <is>
          <t>limited edition</t>
        </is>
      </c>
      <c r="M116" t="inlineStr"/>
      <c r="N116" t="inlineStr"/>
      <c r="O116" t="inlineStr"/>
      <c r="P116" t="inlineStr"/>
      <c r="Q116" t="inlineStr"/>
      <c r="R116" t="n">
        <v>1</v>
      </c>
      <c r="S116">
        <f>IF(Q116="","",MAX(Q116-R116,0))</f>
        <v/>
      </c>
      <c r="T116" s="3">
        <f>IF(Q116="","",MIN(R116/Q116,1))</f>
        <v/>
      </c>
      <c r="U116" t="inlineStr">
        <is>
          <t>Prince John</t>
        </is>
      </c>
      <c r="V116" t="inlineStr"/>
      <c r="W116" t="inlineStr">
        <is>
          <t>evidenced</t>
        </is>
      </c>
      <c r="X116" t="inlineStr">
        <is>
          <t>Low</t>
        </is>
      </c>
      <c r="Y116" t="inlineStr">
        <is>
          <t>https://pixiedustdlp.com/2026/02/27/disneyland-paris-pin-trading-03-2026/</t>
        </is>
      </c>
      <c r="Z116" t="inlineStr">
        <is>
          <t>secondary</t>
        </is>
      </c>
      <c r="AA116" t="inlineStr">
        <is>
          <t>https://www.mousesteps.com/2026/02/27/disneyland-paris-march-2026-pins-revealed-on-2-pages-including-disney-adventure-world/</t>
        </is>
      </c>
      <c r="AB116" t="n">
        <v>2</v>
      </c>
      <c r="AC116" t="inlineStr"/>
      <c r="AD116" t="inlineStr"/>
      <c r="AE116" t="inlineStr"/>
      <c r="AF116" t="inlineStr"/>
      <c r="AG116" t="inlineStr">
        <is>
          <t>dlp/2026/st-patricks-day-2026</t>
        </is>
      </c>
    </row>
    <row r="117">
      <c r="A117" t="inlineStr">
        <is>
          <t>PHS-0116</t>
        </is>
      </c>
      <c r="B117" t="inlineStr">
        <is>
          <t>Voyage Series - Miguel</t>
        </is>
      </c>
      <c r="C117" t="inlineStr">
        <is>
          <t>Disneyland Paris</t>
        </is>
      </c>
      <c r="D117" t="inlineStr"/>
      <c r="E117" t="inlineStr">
        <is>
          <t>2026-03-14</t>
        </is>
      </c>
      <c r="F117" t="n">
        <v>2026</v>
      </c>
      <c r="G117" t="inlineStr"/>
      <c r="H117" t="inlineStr"/>
      <c r="I117" t="inlineStr"/>
      <c r="J117" t="inlineStr"/>
      <c r="K117" t="inlineStr"/>
      <c r="L117" t="inlineStr">
        <is>
          <t>limited edition</t>
        </is>
      </c>
      <c r="M117" t="inlineStr"/>
      <c r="N117" t="inlineStr"/>
      <c r="O117" t="inlineStr"/>
      <c r="P117" t="inlineStr"/>
      <c r="Q117" t="inlineStr"/>
      <c r="R117" t="n">
        <v>1</v>
      </c>
      <c r="S117">
        <f>IF(Q117="","",MAX(Q117-R117,0))</f>
        <v/>
      </c>
      <c r="T117" s="3">
        <f>IF(Q117="","",MIN(R117/Q117,1))</f>
        <v/>
      </c>
      <c r="U117" t="inlineStr">
        <is>
          <t>Miguel</t>
        </is>
      </c>
      <c r="V117" t="inlineStr"/>
      <c r="W117" t="inlineStr">
        <is>
          <t>evidenced</t>
        </is>
      </c>
      <c r="X117" t="inlineStr">
        <is>
          <t>Low</t>
        </is>
      </c>
      <c r="Y117" t="inlineStr">
        <is>
          <t>https://pixiedustdlp.com/2026/02/27/disneyland-paris-pin-trading-03-2026/</t>
        </is>
      </c>
      <c r="Z117" t="inlineStr">
        <is>
          <t>secondary</t>
        </is>
      </c>
      <c r="AA117" t="inlineStr">
        <is>
          <t>https://www.mousesteps.com/2026/02/27/disneyland-paris-march-2026-pins-revealed-on-2-pages-including-disney-adventure-world/</t>
        </is>
      </c>
      <c r="AB117" t="n">
        <v>2</v>
      </c>
      <c r="AC117" t="inlineStr"/>
      <c r="AD117" t="inlineStr"/>
      <c r="AE117" t="inlineStr"/>
      <c r="AF117" t="inlineStr"/>
      <c r="AG117" t="inlineStr">
        <is>
          <t>dlp/2026/voyage-series-miguel</t>
        </is>
      </c>
    </row>
    <row r="118">
      <c r="A118" t="inlineStr">
        <is>
          <t>PHS-0117</t>
        </is>
      </c>
      <c r="B118" t="inlineStr">
        <is>
          <t>Spring - Heimlich</t>
        </is>
      </c>
      <c r="C118" t="inlineStr">
        <is>
          <t>Disneyland Paris</t>
        </is>
      </c>
      <c r="D118" t="inlineStr"/>
      <c r="E118" t="inlineStr">
        <is>
          <t>2026-03-21</t>
        </is>
      </c>
      <c r="F118" t="n">
        <v>2026</v>
      </c>
      <c r="G118" t="inlineStr"/>
      <c r="H118" t="inlineStr"/>
      <c r="I118" t="inlineStr"/>
      <c r="J118" t="inlineStr"/>
      <c r="K118" t="inlineStr"/>
      <c r="L118" t="inlineStr">
        <is>
          <t>limited edition</t>
        </is>
      </c>
      <c r="M118" t="inlineStr"/>
      <c r="N118" t="inlineStr"/>
      <c r="O118" t="inlineStr"/>
      <c r="P118" t="inlineStr"/>
      <c r="Q118" t="inlineStr"/>
      <c r="R118" t="n">
        <v>1</v>
      </c>
      <c r="S118">
        <f>IF(Q118="","",MAX(Q118-R118,0))</f>
        <v/>
      </c>
      <c r="T118" s="3">
        <f>IF(Q118="","",MIN(R118/Q118,1))</f>
        <v/>
      </c>
      <c r="U118" t="inlineStr">
        <is>
          <t>Heimlich</t>
        </is>
      </c>
      <c r="V118" t="inlineStr"/>
      <c r="W118" t="inlineStr">
        <is>
          <t>evidenced</t>
        </is>
      </c>
      <c r="X118" t="inlineStr">
        <is>
          <t>Low</t>
        </is>
      </c>
      <c r="Y118" t="inlineStr">
        <is>
          <t>https://pixiedustdlp.com/2026/02/27/disneyland-paris-pin-trading-03-2026/</t>
        </is>
      </c>
      <c r="Z118" t="inlineStr">
        <is>
          <t>secondary</t>
        </is>
      </c>
      <c r="AA118" t="inlineStr">
        <is>
          <t>https://www.mousesteps.com/2026/02/27/disneyland-paris-march-2026-pins-revealed-on-2-pages-including-disney-adventure-world/</t>
        </is>
      </c>
      <c r="AB118" t="n">
        <v>2</v>
      </c>
      <c r="AC118" t="inlineStr"/>
      <c r="AD118" t="inlineStr"/>
      <c r="AE118" t="inlineStr"/>
      <c r="AF118" t="inlineStr"/>
      <c r="AG118" t="inlineStr">
        <is>
          <t>dlp/2026/spring-2026-heimlich</t>
        </is>
      </c>
    </row>
    <row r="119">
      <c r="A119" t="inlineStr">
        <is>
          <t>PHS-0118</t>
        </is>
      </c>
      <c r="B119" t="inlineStr">
        <is>
          <t>Tarot Series - Three Fairies</t>
        </is>
      </c>
      <c r="C119" t="inlineStr">
        <is>
          <t>Disneyland Paris</t>
        </is>
      </c>
      <c r="D119" t="inlineStr"/>
      <c r="E119" t="inlineStr">
        <is>
          <t>2026-03-21</t>
        </is>
      </c>
      <c r="F119" t="n">
        <v>2026</v>
      </c>
      <c r="G119" t="inlineStr"/>
      <c r="H119" t="inlineStr">
        <is>
          <t>collector card game pin series</t>
        </is>
      </c>
      <c r="I119" t="inlineStr"/>
      <c r="J119" t="inlineStr"/>
      <c r="K119" t="inlineStr"/>
      <c r="L119" t="inlineStr">
        <is>
          <t>limited edition</t>
        </is>
      </c>
      <c r="M119" t="inlineStr"/>
      <c r="N119" t="inlineStr"/>
      <c r="O119" t="inlineStr"/>
      <c r="P119" t="inlineStr"/>
      <c r="Q119" t="inlineStr"/>
      <c r="R119" t="n">
        <v>1</v>
      </c>
      <c r="S119">
        <f>IF(Q119="","",MAX(Q119-R119,0))</f>
        <v/>
      </c>
      <c r="T119" s="3">
        <f>IF(Q119="","",MIN(R119/Q119,1))</f>
        <v/>
      </c>
      <c r="U119" t="inlineStr">
        <is>
          <t>Fauna; Flora; Merryweather; one of the three good fairies</t>
        </is>
      </c>
      <c r="V119" t="inlineStr"/>
      <c r="W119" t="inlineStr">
        <is>
          <t>evidenced</t>
        </is>
      </c>
      <c r="X119" t="inlineStr">
        <is>
          <t>Low</t>
        </is>
      </c>
      <c r="Y119" t="inlineStr">
        <is>
          <t>https://pixiedustdlp.com/2026/02/27/disneyland-paris-pin-trading-03-2026/</t>
        </is>
      </c>
      <c r="Z119" t="inlineStr">
        <is>
          <t>secondary</t>
        </is>
      </c>
      <c r="AA119" t="inlineStr">
        <is>
          <t>https://www.mousesteps.com/2026/02/27/disneyland-paris-march-2026-pins-revealed-on-2-pages-including-disney-adventure-world/</t>
        </is>
      </c>
      <c r="AB119" t="n">
        <v>2</v>
      </c>
      <c r="AC119" t="inlineStr"/>
      <c r="AD119" t="inlineStr"/>
      <c r="AE119" t="inlineStr"/>
      <c r="AF119" t="inlineStr"/>
      <c r="AG119" t="inlineStr">
        <is>
          <t>dlp/2026/tarot-series-three-fairies</t>
        </is>
      </c>
    </row>
    <row r="120">
      <c r="A120" t="inlineStr">
        <is>
          <t>PHS-0119</t>
        </is>
      </c>
      <c r="B120" t="inlineStr">
        <is>
          <t>Nap Time</t>
        </is>
      </c>
      <c r="C120" t="inlineStr">
        <is>
          <t>Disneyland Paris</t>
        </is>
      </c>
      <c r="D120" t="inlineStr"/>
      <c r="E120" t="inlineStr">
        <is>
          <t>2026-04-04</t>
        </is>
      </c>
      <c r="F120" t="n">
        <v>2026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</v>
      </c>
      <c r="S120">
        <f>IF(Q120="","",MAX(Q120-R120,0))</f>
        <v/>
      </c>
      <c r="T120" s="3">
        <f>IF(Q120="","",MIN(R120/Q120,1))</f>
        <v/>
      </c>
      <c r="U120" t="inlineStr">
        <is>
          <t>Chip; Dale; Dumbo; Eeyore; Marie</t>
        </is>
      </c>
      <c r="V120" t="inlineStr"/>
      <c r="W120" t="inlineStr">
        <is>
          <t>evidenced</t>
        </is>
      </c>
      <c r="X120" t="inlineStr">
        <is>
          <t>Low</t>
        </is>
      </c>
      <c r="Y120" t="inlineStr">
        <is>
          <t>https://pixiedustdlp.com/2026/04/01/pins-disneyland-paris-april-2026/</t>
        </is>
      </c>
      <c r="Z120" t="inlineStr">
        <is>
          <t>secondary</t>
        </is>
      </c>
      <c r="AA120" t="inlineStr">
        <is>
          <t>https://www.mousesteps.com/2026/04/01/disneyland-paris-april-2026-pins-revealed-including-disney-adventure-world/</t>
        </is>
      </c>
      <c r="AB120" t="n">
        <v>2</v>
      </c>
      <c r="AC120" t="inlineStr"/>
      <c r="AD120" t="inlineStr"/>
      <c r="AE120" t="inlineStr"/>
      <c r="AF120" t="inlineStr"/>
      <c r="AG120" t="inlineStr">
        <is>
          <t>dlp/2026/nap-time-open-edition</t>
        </is>
      </c>
    </row>
    <row r="121">
      <c r="A121" t="inlineStr">
        <is>
          <t>PHS-0120</t>
        </is>
      </c>
      <c r="B121" t="inlineStr">
        <is>
          <t>Disney Tales of Magic - Bruno</t>
        </is>
      </c>
      <c r="C121" t="inlineStr">
        <is>
          <t>Disneyland Paris</t>
        </is>
      </c>
      <c r="D121" t="inlineStr"/>
      <c r="E121" t="inlineStr">
        <is>
          <t>2026-04-04</t>
        </is>
      </c>
      <c r="F121" t="n">
        <v>2026</v>
      </c>
      <c r="G121" t="inlineStr"/>
      <c r="H121" t="inlineStr"/>
      <c r="I121" t="inlineStr"/>
      <c r="J121" t="inlineStr"/>
      <c r="K121" t="inlineStr"/>
      <c r="L121" t="inlineStr">
        <is>
          <t>limited edition</t>
        </is>
      </c>
      <c r="M121" t="inlineStr"/>
      <c r="N121" t="inlineStr"/>
      <c r="O121" t="inlineStr"/>
      <c r="P121" t="inlineStr"/>
      <c r="Q121" t="inlineStr"/>
      <c r="R121" t="n">
        <v>1</v>
      </c>
      <c r="S121">
        <f>IF(Q121="","",MAX(Q121-R121,0))</f>
        <v/>
      </c>
      <c r="T121" s="3">
        <f>IF(Q121="","",MIN(R121/Q121,1))</f>
        <v/>
      </c>
      <c r="U121" t="inlineStr">
        <is>
          <t>Bruno</t>
        </is>
      </c>
      <c r="V121" t="inlineStr"/>
      <c r="W121" t="inlineStr">
        <is>
          <t>evidenced</t>
        </is>
      </c>
      <c r="X121" t="inlineStr">
        <is>
          <t>Low</t>
        </is>
      </c>
      <c r="Y121" t="inlineStr">
        <is>
          <t>https://pixiedustdlp.com/2026/04/01/pins-disneyland-paris-april-2026/</t>
        </is>
      </c>
      <c r="Z121" t="inlineStr">
        <is>
          <t>secondary</t>
        </is>
      </c>
      <c r="AA121" t="inlineStr">
        <is>
          <t>https://www.mousesteps.com/2026/04/01/disneyland-paris-april-2026-pins-revealed-including-disney-adventure-world/</t>
        </is>
      </c>
      <c r="AB121" t="n">
        <v>2</v>
      </c>
      <c r="AC121" t="inlineStr"/>
      <c r="AD121" t="inlineStr"/>
      <c r="AE121" t="inlineStr"/>
      <c r="AF121" t="inlineStr"/>
      <c r="AG121" t="inlineStr">
        <is>
          <t>dlp/2026/tales-of-magic-bruno</t>
        </is>
      </c>
    </row>
    <row r="122">
      <c r="A122" t="inlineStr">
        <is>
          <t>PHS-0121</t>
        </is>
      </c>
      <c r="B122" t="inlineStr">
        <is>
          <t>Disney Tales of Magic - Thumper</t>
        </is>
      </c>
      <c r="C122" t="inlineStr">
        <is>
          <t>Disneyland Paris</t>
        </is>
      </c>
      <c r="D122" t="inlineStr"/>
      <c r="E122" t="inlineStr">
        <is>
          <t>2026-04-04</t>
        </is>
      </c>
      <c r="F122" t="n">
        <v>2026</v>
      </c>
      <c r="G122" t="inlineStr"/>
      <c r="H122" t="inlineStr"/>
      <c r="I122" t="inlineStr"/>
      <c r="J122" t="inlineStr"/>
      <c r="K122" t="inlineStr"/>
      <c r="L122" t="inlineStr">
        <is>
          <t>limited edition</t>
        </is>
      </c>
      <c r="M122" t="inlineStr"/>
      <c r="N122" t="inlineStr"/>
      <c r="O122" t="inlineStr"/>
      <c r="P122" t="inlineStr"/>
      <c r="Q122" t="inlineStr"/>
      <c r="R122" t="n">
        <v>1</v>
      </c>
      <c r="S122">
        <f>IF(Q122="","",MAX(Q122-R122,0))</f>
        <v/>
      </c>
      <c r="T122" s="3">
        <f>IF(Q122="","",MIN(R122/Q122,1))</f>
        <v/>
      </c>
      <c r="U122" t="inlineStr">
        <is>
          <t>Thumper</t>
        </is>
      </c>
      <c r="V122" t="inlineStr"/>
      <c r="W122" t="inlineStr">
        <is>
          <t>evidenced</t>
        </is>
      </c>
      <c r="X122" t="inlineStr">
        <is>
          <t>Low</t>
        </is>
      </c>
      <c r="Y122" t="inlineStr">
        <is>
          <t>https://www.mousesteps.com/2026/04/01/disneyland-paris-april-2026-pins-revealed-including-disney-adventure-world/</t>
        </is>
      </c>
      <c r="Z122" t="inlineStr">
        <is>
          <t>secondary</t>
        </is>
      </c>
      <c r="AA122" t="inlineStr"/>
      <c r="AB122" t="n">
        <v>1</v>
      </c>
      <c r="AC122" t="inlineStr"/>
      <c r="AD122" t="inlineStr"/>
      <c r="AE122" t="inlineStr"/>
      <c r="AF122" t="inlineStr"/>
      <c r="AG122" t="inlineStr">
        <is>
          <t>dlp/2026/tales-of-magic-thumper</t>
        </is>
      </c>
    </row>
    <row r="123">
      <c r="A123" t="inlineStr">
        <is>
          <t>PHS-0122</t>
        </is>
      </c>
      <c r="B123" t="inlineStr">
        <is>
          <t>Tangled Spin - Rapunzel and Flynn</t>
        </is>
      </c>
      <c r="C123" t="inlineStr">
        <is>
          <t>Disneyland Paris</t>
        </is>
      </c>
      <c r="D123" t="inlineStr"/>
      <c r="E123" t="inlineStr">
        <is>
          <t>2026-04-11</t>
        </is>
      </c>
      <c r="F123" t="n">
        <v>2026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>
        <f>IF(Q123="","",MAX(Q123-R123,0))</f>
        <v/>
      </c>
      <c r="T123" s="3">
        <f>IF(Q123="","",MIN(R123/Q123,1))</f>
        <v/>
      </c>
      <c r="U123" t="inlineStr">
        <is>
          <t>Flynn Rider; Rapunzel</t>
        </is>
      </c>
      <c r="V123" t="inlineStr"/>
      <c r="W123" t="inlineStr">
        <is>
          <t>evidenced (held)</t>
        </is>
      </c>
      <c r="X123" t="inlineStr">
        <is>
          <t>Low</t>
        </is>
      </c>
      <c r="Y123" t="inlineStr">
        <is>
          <t>https://www.mousesteps.com/2026/04/01/disneyland-paris-april-2026-pins-revealed-including-disney-adventure-world/</t>
        </is>
      </c>
      <c r="Z123" t="inlineStr">
        <is>
          <t>secondary</t>
        </is>
      </c>
      <c r="AA123" t="inlineStr"/>
      <c r="AB123" t="n">
        <v>1</v>
      </c>
      <c r="AC123" t="inlineStr"/>
      <c r="AD123" t="inlineStr"/>
      <c r="AE123" t="inlineStr"/>
      <c r="AF123" t="inlineStr"/>
      <c r="AG123" t="inlineStr">
        <is>
          <t>dlp/2026/tangled-spin-rapunzel-flynn</t>
        </is>
      </c>
    </row>
    <row r="124">
      <c r="A124" t="inlineStr">
        <is>
          <t>PHS-0123</t>
        </is>
      </c>
      <c r="B124" t="inlineStr">
        <is>
          <t>Frozen Ever After attraction key</t>
        </is>
      </c>
      <c r="C124" t="inlineStr">
        <is>
          <t>Disneyland Paris</t>
        </is>
      </c>
      <c r="D124" t="inlineStr"/>
      <c r="E124" t="inlineStr">
        <is>
          <t>2026-04-25</t>
        </is>
      </c>
      <c r="F124" t="n">
        <v>2026</v>
      </c>
      <c r="G124" t="inlineStr"/>
      <c r="H124" t="inlineStr"/>
      <c r="I124" t="inlineStr">
        <is>
          <t>attraction key</t>
        </is>
      </c>
      <c r="J124" t="inlineStr"/>
      <c r="K124" t="inlineStr"/>
      <c r="L124" t="inlineStr">
        <is>
          <t>limited edition</t>
        </is>
      </c>
      <c r="M124" t="n">
        <v>2026</v>
      </c>
      <c r="N124" t="n">
        <v>32</v>
      </c>
      <c r="O124" t="inlineStr">
        <is>
          <t>EUR</t>
        </is>
      </c>
      <c r="P124" t="inlineStr"/>
      <c r="Q124" t="inlineStr"/>
      <c r="R124" t="n">
        <v>1</v>
      </c>
      <c r="S124">
        <f>IF(Q124="","",MAX(Q124-R124,0))</f>
        <v/>
      </c>
      <c r="T124" s="3">
        <f>IF(Q124="","",MIN(R124/Q124,1))</f>
        <v/>
      </c>
      <c r="U124" t="inlineStr">
        <is>
          <t>Grand Pabbie; Marshmallow; Olaf</t>
        </is>
      </c>
      <c r="V124" t="inlineStr"/>
      <c r="W124" t="inlineStr">
        <is>
          <t>evidenced</t>
        </is>
      </c>
      <c r="X124" t="inlineStr">
        <is>
          <t>Low</t>
        </is>
      </c>
      <c r="Y124" t="inlineStr">
        <is>
          <t>https://pixiedustdlp.com/2026/04/22/new-frozen-ever-after-attraction-key/</t>
        </is>
      </c>
      <c r="Z124" t="inlineStr">
        <is>
          <t>secondary</t>
        </is>
      </c>
      <c r="AA124" t="inlineStr">
        <is>
          <t>https://wdwnt.com/2026/04/frozen-ever-after-collectors-key-coming-soon-to-disneyland-paris/</t>
        </is>
      </c>
      <c r="AB124" t="n">
        <v>3</v>
      </c>
      <c r="AC124" t="inlineStr"/>
      <c r="AD124" t="inlineStr"/>
      <c r="AE124" t="inlineStr"/>
      <c r="AF124" t="inlineStr"/>
      <c r="AG124" t="inlineStr">
        <is>
          <t>dlp/2026/frozen-ever-after-attraction-key</t>
        </is>
      </c>
    </row>
    <row r="125">
      <c r="A125" t="inlineStr">
        <is>
          <t>PHS-0124</t>
        </is>
      </c>
      <c r="B125" t="inlineStr">
        <is>
          <t>Pixar gummy-style pins</t>
        </is>
      </c>
      <c r="C125" t="inlineStr">
        <is>
          <t>Disneyland Paris</t>
        </is>
      </c>
      <c r="D125" t="inlineStr"/>
      <c r="E125" t="inlineStr">
        <is>
          <t>2026-05-02</t>
        </is>
      </c>
      <c r="F125" t="n">
        <v>2026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2</v>
      </c>
      <c r="S125">
        <f>IF(Q125="","",MAX(Q125-R125,0))</f>
        <v/>
      </c>
      <c r="T125" s="3">
        <f>IF(Q125="","",MIN(R125/Q125,1))</f>
        <v/>
      </c>
      <c r="U125" t="inlineStr">
        <is>
          <t>Lotso; Sulley</t>
        </is>
      </c>
      <c r="V125" t="inlineStr"/>
      <c r="W125" t="inlineStr">
        <is>
          <t>evidenced</t>
        </is>
      </c>
      <c r="X125" t="inlineStr">
        <is>
          <t>Low</t>
        </is>
      </c>
      <c r="Y125" t="inlineStr">
        <is>
          <t>https://pixiedustdlp.com/2026/05/01/pins-disneyland-paris-may-2026/</t>
        </is>
      </c>
      <c r="Z125" t="inlineStr">
        <is>
          <t>secondary</t>
        </is>
      </c>
      <c r="AA125" t="inlineStr">
        <is>
          <t>https://www.mousesteps.com/2026/04/29/disneyland-paris-may-2026-pin-release-schedule-revealed/</t>
        </is>
      </c>
      <c r="AB125" t="n">
        <v>2</v>
      </c>
      <c r="AC125" t="inlineStr"/>
      <c r="AD125" t="inlineStr"/>
      <c r="AE125" t="inlineStr"/>
      <c r="AF125" t="inlineStr"/>
      <c r="AG125" t="inlineStr">
        <is>
          <t>dlp/2026/pixar-gummy-open-edition</t>
        </is>
      </c>
    </row>
    <row r="126">
      <c r="A126" t="inlineStr">
        <is>
          <t>PHS-0125</t>
        </is>
      </c>
      <c r="B126" t="inlineStr">
        <is>
          <t>Disney Tales of Magic - Carl and Ellie</t>
        </is>
      </c>
      <c r="C126" t="inlineStr">
        <is>
          <t>Disneyland Paris</t>
        </is>
      </c>
      <c r="D126" t="inlineStr"/>
      <c r="E126" t="inlineStr">
        <is>
          <t>2026-05-02</t>
        </is>
      </c>
      <c r="F126" t="n">
        <v>2026</v>
      </c>
      <c r="G126" t="inlineStr"/>
      <c r="H126" t="inlineStr">
        <is>
          <t>Disney Tales of Magic</t>
        </is>
      </c>
      <c r="I126" t="inlineStr"/>
      <c r="J126" t="inlineStr"/>
      <c r="K126" t="inlineStr"/>
      <c r="L126" t="inlineStr">
        <is>
          <t>limited edition</t>
        </is>
      </c>
      <c r="M126" t="inlineStr"/>
      <c r="N126" t="inlineStr"/>
      <c r="O126" t="inlineStr"/>
      <c r="P126" t="inlineStr"/>
      <c r="Q126" t="inlineStr"/>
      <c r="R126" t="n">
        <v>1</v>
      </c>
      <c r="S126">
        <f>IF(Q126="","",MAX(Q126-R126,0))</f>
        <v/>
      </c>
      <c r="T126" s="3">
        <f>IF(Q126="","",MIN(R126/Q126,1))</f>
        <v/>
      </c>
      <c r="U126" t="inlineStr">
        <is>
          <t>Carl; Carl Fredricksen; Ellie; Ellie Fredricksen</t>
        </is>
      </c>
      <c r="V126" t="inlineStr"/>
      <c r="W126" t="inlineStr">
        <is>
          <t>evidenced</t>
        </is>
      </c>
      <c r="X126" t="inlineStr">
        <is>
          <t>Low</t>
        </is>
      </c>
      <c r="Y126" t="inlineStr">
        <is>
          <t>https://pixiedustdlp.com/2026/05/01/pins-disneyland-paris-may-2026/</t>
        </is>
      </c>
      <c r="Z126" t="inlineStr">
        <is>
          <t>secondary</t>
        </is>
      </c>
      <c r="AA126" t="inlineStr">
        <is>
          <t>https://www.mousesteps.com/2026/04/29/disneyland-paris-may-2026-pin-release-schedule-revealed/</t>
        </is>
      </c>
      <c r="AB126" t="n">
        <v>2</v>
      </c>
      <c r="AC126" t="inlineStr"/>
      <c r="AD126" t="inlineStr"/>
      <c r="AE126" t="inlineStr"/>
      <c r="AF126" t="inlineStr"/>
      <c r="AG126" t="inlineStr">
        <is>
          <t>dlp/2026/tales-of-magic-carl-ellie</t>
        </is>
      </c>
    </row>
    <row r="127">
      <c r="A127" t="inlineStr">
        <is>
          <t>PHS-0126</t>
        </is>
      </c>
      <c r="B127" t="inlineStr">
        <is>
          <t>May the 4th</t>
        </is>
      </c>
      <c r="C127" t="inlineStr">
        <is>
          <t>Disneyland Paris</t>
        </is>
      </c>
      <c r="D127" t="inlineStr"/>
      <c r="E127" t="inlineStr">
        <is>
          <t>2026-05-04</t>
        </is>
      </c>
      <c r="F127" t="n">
        <v>2026</v>
      </c>
      <c r="G127" t="inlineStr"/>
      <c r="H127" t="inlineStr"/>
      <c r="I127" t="inlineStr"/>
      <c r="J127" t="inlineStr"/>
      <c r="K127" t="inlineStr"/>
      <c r="L127" t="inlineStr">
        <is>
          <t>limited edition</t>
        </is>
      </c>
      <c r="M127" t="inlineStr"/>
      <c r="N127" t="inlineStr"/>
      <c r="O127" t="inlineStr"/>
      <c r="P127" t="inlineStr"/>
      <c r="Q127" t="inlineStr"/>
      <c r="R127" t="n">
        <v>1</v>
      </c>
      <c r="S127">
        <f>IF(Q127="","",MAX(Q127-R127,0))</f>
        <v/>
      </c>
      <c r="T127" s="3">
        <f>IF(Q127="","",MIN(R127/Q127,1))</f>
        <v/>
      </c>
      <c r="U127" t="inlineStr">
        <is>
          <t>original Star Wars trio</t>
        </is>
      </c>
      <c r="V127" t="inlineStr"/>
      <c r="W127" t="inlineStr">
        <is>
          <t>evidenced</t>
        </is>
      </c>
      <c r="X127" t="inlineStr">
        <is>
          <t>Low</t>
        </is>
      </c>
      <c r="Y127" t="inlineStr">
        <is>
          <t>https://pixiedustdlp.com/2026/05/01/pins-disneyland-paris-may-2026/</t>
        </is>
      </c>
      <c r="Z127" t="inlineStr">
        <is>
          <t>secondary</t>
        </is>
      </c>
      <c r="AA127" t="inlineStr">
        <is>
          <t>https://www.mousesteps.com/2026/04/29/disneyland-paris-may-2026-pin-release-schedule-revealed/</t>
        </is>
      </c>
      <c r="AB127" t="n">
        <v>2</v>
      </c>
      <c r="AC127" t="inlineStr"/>
      <c r="AD127" t="inlineStr"/>
      <c r="AE127" t="inlineStr"/>
      <c r="AF127" t="inlineStr"/>
      <c r="AG127" t="inlineStr">
        <is>
          <t>dlp/2026/may-the-4th-2026</t>
        </is>
      </c>
    </row>
    <row r="128">
      <c r="A128" t="inlineStr">
        <is>
          <t>PHS-0127</t>
        </is>
      </c>
      <c r="B128" t="inlineStr">
        <is>
          <t>Princess Series - Belle</t>
        </is>
      </c>
      <c r="C128" t="inlineStr">
        <is>
          <t>Disneyland Paris</t>
        </is>
      </c>
      <c r="D128" t="inlineStr"/>
      <c r="E128" t="inlineStr">
        <is>
          <t>2026-05-09</t>
        </is>
      </c>
      <c r="F128" t="n">
        <v>2026</v>
      </c>
      <c r="G128" t="inlineStr"/>
      <c r="H128" t="inlineStr">
        <is>
          <t>Disney Princess Studio</t>
        </is>
      </c>
      <c r="I128" t="inlineStr"/>
      <c r="J128" t="inlineStr"/>
      <c r="K128" t="inlineStr"/>
      <c r="L128" t="inlineStr">
        <is>
          <t>limited edition</t>
        </is>
      </c>
      <c r="M128" t="inlineStr"/>
      <c r="N128" t="inlineStr"/>
      <c r="O128" t="inlineStr"/>
      <c r="P128" t="inlineStr"/>
      <c r="Q128" t="inlineStr"/>
      <c r="R128" t="n">
        <v>1</v>
      </c>
      <c r="S128">
        <f>IF(Q128="","",MAX(Q128-R128,0))</f>
        <v/>
      </c>
      <c r="T128" s="3">
        <f>IF(Q128="","",MIN(R128/Q128,1))</f>
        <v/>
      </c>
      <c r="U128" t="inlineStr">
        <is>
          <t>Belle</t>
        </is>
      </c>
      <c r="V128" t="inlineStr"/>
      <c r="W128" t="inlineStr">
        <is>
          <t>evidenced</t>
        </is>
      </c>
      <c r="X128" t="inlineStr">
        <is>
          <t>Low</t>
        </is>
      </c>
      <c r="Y128" t="inlineStr">
        <is>
          <t>https://pixiedustdlp.com/2026/05/01/pins-disneyland-paris-may-2026/</t>
        </is>
      </c>
      <c r="Z128" t="inlineStr">
        <is>
          <t>secondary</t>
        </is>
      </c>
      <c r="AA128" t="inlineStr">
        <is>
          <t>https://www.mousesteps.com/2026/04/29/disneyland-paris-may-2026-pin-release-schedule-revealed/</t>
        </is>
      </c>
      <c r="AB128" t="n">
        <v>2</v>
      </c>
      <c r="AC128" t="inlineStr"/>
      <c r="AD128" t="inlineStr"/>
      <c r="AE128" t="inlineStr"/>
      <c r="AF128" t="inlineStr"/>
      <c r="AG128" t="inlineStr">
        <is>
          <t>dlp/2026/princess-studio-belle</t>
        </is>
      </c>
    </row>
    <row r="129">
      <c r="A129" t="inlineStr">
        <is>
          <t>PHS-0128</t>
        </is>
      </c>
      <c r="B129" t="inlineStr">
        <is>
          <t>Disney Adventure World lands pins</t>
        </is>
      </c>
      <c r="C129" t="inlineStr">
        <is>
          <t>Disneyland Paris</t>
        </is>
      </c>
      <c r="D129" t="inlineStr"/>
      <c r="E129" t="inlineStr">
        <is>
          <t>2026-05-16</t>
        </is>
      </c>
      <c r="F129" t="n">
        <v>2026</v>
      </c>
      <c r="G129" t="inlineStr"/>
      <c r="H129" t="inlineStr"/>
      <c r="I129" t="inlineStr"/>
      <c r="J129" t="inlineStr"/>
      <c r="K129" t="inlineStr"/>
      <c r="L129" t="inlineStr">
        <is>
          <t>limited edition</t>
        </is>
      </c>
      <c r="M129" t="inlineStr"/>
      <c r="N129" t="inlineStr"/>
      <c r="O129" t="inlineStr"/>
      <c r="P129" t="inlineStr"/>
      <c r="Q129" t="inlineStr"/>
      <c r="R129" t="n">
        <v>4</v>
      </c>
      <c r="S129">
        <f>IF(Q129="","",MAX(Q129-R129,0))</f>
        <v/>
      </c>
      <c r="T129" s="3">
        <f>IF(Q129="","",MIN(R129/Q129,1))</f>
        <v/>
      </c>
      <c r="U129" t="inlineStr">
        <is>
          <t>Avengers Campus – Disney Adventure World lands pins; La Place de Remy – Disney Adventure World lands pins; Toy Story Playland – Disney Adventure World lands pins; World of Frozen – Disney Adventure World lands pins</t>
        </is>
      </c>
      <c r="V129" t="inlineStr"/>
      <c r="W129" t="inlineStr">
        <is>
          <t>evidenced</t>
        </is>
      </c>
      <c r="X129" t="inlineStr">
        <is>
          <t>Low</t>
        </is>
      </c>
      <c r="Y129" t="inlineStr">
        <is>
          <t>https://pixiedustdlp.com/2026/05/01/pins-disneyland-paris-may-2026/</t>
        </is>
      </c>
      <c r="Z129" t="inlineStr">
        <is>
          <t>secondary</t>
        </is>
      </c>
      <c r="AA129" t="inlineStr">
        <is>
          <t>https://www.mousesteps.com/2026/04/29/disneyland-paris-may-2026-pin-release-schedule-revealed/</t>
        </is>
      </c>
      <c r="AB129" t="n">
        <v>2</v>
      </c>
      <c r="AC129" t="inlineStr"/>
      <c r="AD129" t="inlineStr"/>
      <c r="AE129" t="inlineStr"/>
      <c r="AF129" t="inlineStr"/>
      <c r="AG129" t="inlineStr">
        <is>
          <t>dlp/2026/disney-adventure-world-lands</t>
        </is>
      </c>
    </row>
    <row r="130">
      <c r="A130" t="inlineStr">
        <is>
          <t>PHS-0129</t>
        </is>
      </c>
      <c r="B130" t="inlineStr">
        <is>
          <t>Rapunzel Tangled Spin attraction key</t>
        </is>
      </c>
      <c r="C130" t="inlineStr">
        <is>
          <t>Disneyland Paris</t>
        </is>
      </c>
      <c r="D130" t="inlineStr"/>
      <c r="E130" t="inlineStr">
        <is>
          <t>2026-05-23</t>
        </is>
      </c>
      <c r="F130" t="n">
        <v>2026</v>
      </c>
      <c r="G130" t="inlineStr"/>
      <c r="H130" t="inlineStr"/>
      <c r="I130" t="inlineStr">
        <is>
          <t>attraction key</t>
        </is>
      </c>
      <c r="J130" t="inlineStr"/>
      <c r="K130" t="inlineStr"/>
      <c r="L130" t="inlineStr">
        <is>
          <t>limited edition</t>
        </is>
      </c>
      <c r="M130" t="n">
        <v>2026</v>
      </c>
      <c r="N130" t="n">
        <v>32</v>
      </c>
      <c r="O130" t="inlineStr">
        <is>
          <t>EUR</t>
        </is>
      </c>
      <c r="P130" t="inlineStr"/>
      <c r="Q130" t="inlineStr"/>
      <c r="R130" t="n">
        <v>1</v>
      </c>
      <c r="S130">
        <f>IF(Q130="","",MAX(Q130-R130,0))</f>
        <v/>
      </c>
      <c r="T130" s="3">
        <f>IF(Q130="","",MIN(R130/Q130,1))</f>
        <v/>
      </c>
      <c r="U130" t="inlineStr">
        <is>
          <t>Pascal</t>
        </is>
      </c>
      <c r="V130" t="inlineStr"/>
      <c r="W130" t="inlineStr">
        <is>
          <t>evidenced</t>
        </is>
      </c>
      <c r="X130" t="inlineStr">
        <is>
          <t>Low</t>
        </is>
      </c>
      <c r="Y130" t="inlineStr">
        <is>
          <t>https://www.laughingplace.com/disney-parks/raiponce-tangled-spin-attraction-key/</t>
        </is>
      </c>
      <c r="Z130" t="inlineStr">
        <is>
          <t>secondary</t>
        </is>
      </c>
      <c r="AA130" t="inlineStr">
        <is>
          <t>https://www.mousesteps.com/2026/05/16/le-rapunzel-tangled-spin-attraction-key-releasing-at-disneyland-paris-on-may-23rd/</t>
        </is>
      </c>
      <c r="AB130" t="n">
        <v>2</v>
      </c>
      <c r="AC130" t="inlineStr"/>
      <c r="AD130" t="inlineStr"/>
      <c r="AE130" t="inlineStr"/>
      <c r="AF130" t="inlineStr"/>
      <c r="AG130" t="inlineStr">
        <is>
          <t>dlp/2026/tangled-spin-attraction-key</t>
        </is>
      </c>
    </row>
    <row r="131">
      <c r="A131" t="inlineStr">
        <is>
          <t>PHS-0130</t>
        </is>
      </c>
      <c r="B131" t="inlineStr">
        <is>
          <t>Bernard and Bianca</t>
        </is>
      </c>
      <c r="C131" t="inlineStr">
        <is>
          <t>Disneyland Paris</t>
        </is>
      </c>
      <c r="D131" t="inlineStr"/>
      <c r="E131" t="inlineStr">
        <is>
          <t>2026-05-30</t>
        </is>
      </c>
      <c r="F131" t="n">
        <v>2026</v>
      </c>
      <c r="G131" t="inlineStr"/>
      <c r="H131" t="inlineStr"/>
      <c r="I131" t="inlineStr"/>
      <c r="J131" t="inlineStr"/>
      <c r="K131" t="inlineStr"/>
      <c r="L131" t="inlineStr">
        <is>
          <t>limited edition</t>
        </is>
      </c>
      <c r="M131" t="inlineStr"/>
      <c r="N131" t="inlineStr"/>
      <c r="O131" t="inlineStr"/>
      <c r="P131" t="inlineStr"/>
      <c r="Q131" t="inlineStr"/>
      <c r="R131" t="n">
        <v>1</v>
      </c>
      <c r="S131">
        <f>IF(Q131="","",MAX(Q131-R131,0))</f>
        <v/>
      </c>
      <c r="T131" s="3">
        <f>IF(Q131="","",MIN(R131/Q131,1))</f>
        <v/>
      </c>
      <c r="U131" t="inlineStr">
        <is>
          <t>Bernard; Bianca</t>
        </is>
      </c>
      <c r="V131" t="inlineStr"/>
      <c r="W131" t="inlineStr">
        <is>
          <t>evidenced</t>
        </is>
      </c>
      <c r="X131" t="inlineStr">
        <is>
          <t>Low</t>
        </is>
      </c>
      <c r="Y131" t="inlineStr">
        <is>
          <t>https://pixiedustdlp.com/2026/05/01/pins-disneyland-paris-may-2026/</t>
        </is>
      </c>
      <c r="Z131" t="inlineStr">
        <is>
          <t>secondary</t>
        </is>
      </c>
      <c r="AA131" t="inlineStr">
        <is>
          <t>https://www.mousesteps.com/2026/04/29/disneyland-paris-may-2026-pin-release-schedule-revealed/</t>
        </is>
      </c>
      <c r="AB131" t="n">
        <v>2</v>
      </c>
      <c r="AC131" t="inlineStr"/>
      <c r="AD131" t="inlineStr"/>
      <c r="AE131" t="inlineStr"/>
      <c r="AF131" t="inlineStr"/>
      <c r="AG131" t="inlineStr">
        <is>
          <t>dlp/2026/rescuers-bernard-bianca</t>
        </is>
      </c>
    </row>
    <row r="132">
      <c r="A132" t="inlineStr">
        <is>
          <t>PHS-0131</t>
        </is>
      </c>
      <c r="B132" t="inlineStr">
        <is>
          <t>Tarzan</t>
        </is>
      </c>
      <c r="C132" t="inlineStr">
        <is>
          <t>Disneyland Paris</t>
        </is>
      </c>
      <c r="D132" t="inlineStr"/>
      <c r="E132" t="inlineStr">
        <is>
          <t>2026-05-30</t>
        </is>
      </c>
      <c r="F132" t="n">
        <v>2026</v>
      </c>
      <c r="G132" t="inlineStr"/>
      <c r="H132" t="inlineStr"/>
      <c r="I132" t="inlineStr"/>
      <c r="J132" t="inlineStr"/>
      <c r="K132" t="inlineStr"/>
      <c r="L132" t="inlineStr">
        <is>
          <t>limited edition</t>
        </is>
      </c>
      <c r="M132" t="inlineStr"/>
      <c r="N132" t="inlineStr"/>
      <c r="O132" t="inlineStr"/>
      <c r="P132" t="inlineStr"/>
      <c r="Q132" t="inlineStr"/>
      <c r="R132" t="n">
        <v>1</v>
      </c>
      <c r="S132">
        <f>IF(Q132="","",MAX(Q132-R132,0))</f>
        <v/>
      </c>
      <c r="T132" s="3">
        <f>IF(Q132="","",MIN(R132/Q132,1))</f>
        <v/>
      </c>
      <c r="U132" t="inlineStr">
        <is>
          <t>Tarzan</t>
        </is>
      </c>
      <c r="V132" t="inlineStr"/>
      <c r="W132" t="inlineStr">
        <is>
          <t>evidenced</t>
        </is>
      </c>
      <c r="X132" t="inlineStr">
        <is>
          <t>Low</t>
        </is>
      </c>
      <c r="Y132" t="inlineStr">
        <is>
          <t>https://pixiedustdlp.com/2026/05/01/pins-disneyland-paris-may-2026/</t>
        </is>
      </c>
      <c r="Z132" t="inlineStr">
        <is>
          <t>secondary</t>
        </is>
      </c>
      <c r="AA132" t="inlineStr">
        <is>
          <t>https://www.mousesteps.com/2026/04/29/disneyland-paris-may-2026-pin-release-schedule-revealed/</t>
        </is>
      </c>
      <c r="AB132" t="n">
        <v>2</v>
      </c>
      <c r="AC132" t="inlineStr"/>
      <c r="AD132" t="inlineStr"/>
      <c r="AE132" t="inlineStr"/>
      <c r="AF132" t="inlineStr"/>
      <c r="AG132" t="inlineStr">
        <is>
          <t>dlp/2026/tarzan</t>
        </is>
      </c>
    </row>
    <row r="133">
      <c r="A133" t="inlineStr">
        <is>
          <t>PHS-0132</t>
        </is>
      </c>
      <c r="B133" t="inlineStr">
        <is>
          <t>Pride - Mickey and Minnie rainbow</t>
        </is>
      </c>
      <c r="C133" t="inlineStr">
        <is>
          <t>Disneyland Paris</t>
        </is>
      </c>
      <c r="D133" t="inlineStr"/>
      <c r="E133" t="inlineStr">
        <is>
          <t>2026-06</t>
        </is>
      </c>
      <c r="F133" t="n">
        <v>2026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</v>
      </c>
      <c r="S133">
        <f>IF(Q133="","",MAX(Q133-R133,0))</f>
        <v/>
      </c>
      <c r="T133" s="3">
        <f>IF(Q133="","",MIN(R133/Q133,1))</f>
        <v/>
      </c>
      <c r="U133" t="inlineStr">
        <is>
          <t>Mickey Mouse; Minnie Mouse</t>
        </is>
      </c>
      <c r="V133" t="inlineStr"/>
      <c r="W133" t="inlineStr">
        <is>
          <t>evidenced (held)</t>
        </is>
      </c>
      <c r="X133" t="inlineStr">
        <is>
          <t>Low</t>
        </is>
      </c>
      <c r="Y133" t="inlineStr">
        <is>
          <t>https://mypincentral.com/blog_post/pin-releases-disneyland-paris-disneyland-paris-flyer-for-june-2026</t>
        </is>
      </c>
      <c r="Z133" t="inlineStr">
        <is>
          <t>secondary</t>
        </is>
      </c>
      <c r="AA133" t="inlineStr">
        <is>
          <t>https://www.mousesteps.com/2026/06/01/disneyland-paris-june-2026-pin-release-schedule-includes-toy-story-5-atlantis-pride-pins/</t>
        </is>
      </c>
      <c r="AB133" t="n">
        <v>2</v>
      </c>
      <c r="AC133" t="inlineStr"/>
      <c r="AD133" t="inlineStr"/>
      <c r="AE133" t="inlineStr"/>
      <c r="AF133" t="inlineStr"/>
      <c r="AG133" t="inlineStr">
        <is>
          <t>dlp/2026/pride-2026</t>
        </is>
      </c>
    </row>
    <row r="134">
      <c r="A134" t="inlineStr">
        <is>
          <t>PHS-0133</t>
        </is>
      </c>
      <c r="B134" t="inlineStr">
        <is>
          <t>Tangled LE pins (June 6)</t>
        </is>
      </c>
      <c r="C134" t="inlineStr">
        <is>
          <t>Disneyland Paris</t>
        </is>
      </c>
      <c r="D134" t="inlineStr"/>
      <c r="E134" t="inlineStr">
        <is>
          <t>2026-06-06</t>
        </is>
      </c>
      <c r="F134" t="n">
        <v>2026</v>
      </c>
      <c r="G134" t="inlineStr"/>
      <c r="H134" t="inlineStr"/>
      <c r="I134" t="inlineStr"/>
      <c r="J134" t="inlineStr"/>
      <c r="K134" t="inlineStr"/>
      <c r="L134" t="inlineStr">
        <is>
          <t>limited edition</t>
        </is>
      </c>
      <c r="M134" t="n">
        <v>800</v>
      </c>
      <c r="N134" t="n">
        <v>18</v>
      </c>
      <c r="O134" t="inlineStr">
        <is>
          <t>EUR</t>
        </is>
      </c>
      <c r="P134" t="inlineStr"/>
      <c r="Q134" t="inlineStr"/>
      <c r="R134" t="n">
        <v>3</v>
      </c>
      <c r="S134">
        <f>IF(Q134="","",MAX(Q134-R134,0))</f>
        <v/>
      </c>
      <c r="T134" s="3">
        <f>IF(Q134="","",MIN(R134/Q134,1))</f>
        <v/>
      </c>
      <c r="U134" t="inlineStr">
        <is>
          <t>Maximus; Pascal; Flynn Rider; Rapunzel; The Lover; The Satyr; Vladimir</t>
        </is>
      </c>
      <c r="V134" t="inlineStr"/>
      <c r="W134" t="inlineStr">
        <is>
          <t>evidenced</t>
        </is>
      </c>
      <c r="X134" t="inlineStr">
        <is>
          <t>Low</t>
        </is>
      </c>
      <c r="Y134" t="inlineStr">
        <is>
          <t>https://mypincentral.com/blog_post/pin-releases-disneyland-paris-disneyland-paris-flyer-for-june-2026</t>
        </is>
      </c>
      <c r="Z134" t="inlineStr">
        <is>
          <t>secondary</t>
        </is>
      </c>
      <c r="AA134" t="inlineStr">
        <is>
          <t>https://www.mousesteps.com/2026/06/01/disneyland-paris-june-2026-pin-release-schedule-includes-toy-story-5-atlantis-pride-pins/</t>
        </is>
      </c>
      <c r="AB134" t="n">
        <v>2</v>
      </c>
      <c r="AC134" t="inlineStr"/>
      <c r="AD134" t="inlineStr"/>
      <c r="AE134" t="inlineStr"/>
      <c r="AF134" t="inlineStr"/>
      <c r="AG134" t="inlineStr">
        <is>
          <t>dlp/2026/raiponce-tangled-spin-june</t>
        </is>
      </c>
    </row>
    <row r="135">
      <c r="A135" t="inlineStr">
        <is>
          <t>PHS-0134</t>
        </is>
      </c>
      <c r="B135" t="inlineStr">
        <is>
          <t>Pixar pins (Cars, WALL-E)</t>
        </is>
      </c>
      <c r="C135" t="inlineStr">
        <is>
          <t>Disneyland Paris</t>
        </is>
      </c>
      <c r="D135" t="inlineStr"/>
      <c r="E135" t="inlineStr">
        <is>
          <t>2026-06-13</t>
        </is>
      </c>
      <c r="F135" t="n">
        <v>2026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3</v>
      </c>
      <c r="S135">
        <f>IF(Q135="","",MAX(Q135-R135,0))</f>
        <v/>
      </c>
      <c r="T135" s="3">
        <f>IF(Q135="","",MIN(R135/Q135,1))</f>
        <v/>
      </c>
      <c r="U135" t="inlineStr">
        <is>
          <t>Lightning McQueen; Mater; EVE; WALL-E</t>
        </is>
      </c>
      <c r="V135" t="inlineStr"/>
      <c r="W135" t="inlineStr">
        <is>
          <t>evidenced</t>
        </is>
      </c>
      <c r="X135" t="inlineStr">
        <is>
          <t>Low</t>
        </is>
      </c>
      <c r="Y135" t="inlineStr">
        <is>
          <t>https://mypincentral.com/blog_post/pin-releases-disneyland-paris-disneyland-paris-flyer-for-june-2026</t>
        </is>
      </c>
      <c r="Z135" t="inlineStr">
        <is>
          <t>secondary</t>
        </is>
      </c>
      <c r="AA135" t="inlineStr">
        <is>
          <t>https://www.mousesteps.com/2026/06/01/disneyland-paris-june-2026-pin-release-schedule-includes-toy-story-5-atlantis-pride-pins/</t>
        </is>
      </c>
      <c r="AB135" t="n">
        <v>2</v>
      </c>
      <c r="AC135" t="inlineStr"/>
      <c r="AD135" t="inlineStr"/>
      <c r="AE135" t="inlineStr"/>
      <c r="AF135" t="inlineStr"/>
      <c r="AG135" t="inlineStr">
        <is>
          <t>dlp/2026/pixar-cars-wall-e-june</t>
        </is>
      </c>
    </row>
    <row r="136">
      <c r="A136" t="inlineStr">
        <is>
          <t>PHS-0135</t>
        </is>
      </c>
      <c r="B136" t="inlineStr">
        <is>
          <t>Toy Story 5 open edition pins</t>
        </is>
      </c>
      <c r="C136" t="inlineStr">
        <is>
          <t>Disneyland Paris</t>
        </is>
      </c>
      <c r="D136" t="inlineStr"/>
      <c r="E136" t="inlineStr">
        <is>
          <t>2026-06-17</t>
        </is>
      </c>
      <c r="F136" t="n">
        <v>2026</v>
      </c>
      <c r="G136" t="inlineStr"/>
      <c r="H136" t="inlineStr"/>
      <c r="I136" t="inlineStr"/>
      <c r="J136" t="inlineStr"/>
      <c r="K136" t="inlineStr"/>
      <c r="L136" t="inlineStr">
        <is>
          <t>open edition</t>
        </is>
      </c>
      <c r="M136" t="inlineStr"/>
      <c r="N136" t="inlineStr"/>
      <c r="O136" t="inlineStr"/>
      <c r="P136" t="inlineStr"/>
      <c r="Q136" t="inlineStr"/>
      <c r="R136" t="n">
        <v>5</v>
      </c>
      <c r="S136">
        <f>IF(Q136="","",MAX(Q136-R136,0))</f>
        <v/>
      </c>
      <c r="T136" s="3">
        <f>IF(Q136="","",MIN(R136/Q136,1))</f>
        <v/>
      </c>
      <c r="U136" t="inlineStr">
        <is>
          <t>Forky; Jessie; Karen; Karen Beverly; Lilypad</t>
        </is>
      </c>
      <c r="V136" t="inlineStr"/>
      <c r="W136" t="inlineStr">
        <is>
          <t>evidenced (held)</t>
        </is>
      </c>
      <c r="X136" t="inlineStr">
        <is>
          <t>Low</t>
        </is>
      </c>
      <c r="Y136" t="inlineStr">
        <is>
          <t>https://mypincentral.com/blog_post/pin-releases-disneyland-paris-disneyland-paris-flyer-for-june-2026</t>
        </is>
      </c>
      <c r="Z136" t="inlineStr">
        <is>
          <t>secondary</t>
        </is>
      </c>
      <c r="AA136" t="inlineStr">
        <is>
          <t>https://pixiedustdlp.com/2026/06/01/pins-disneyland-paris-06-2026/</t>
        </is>
      </c>
      <c r="AB136" t="n">
        <v>3</v>
      </c>
      <c r="AC136" t="inlineStr"/>
      <c r="AD136" t="inlineStr"/>
      <c r="AE136" t="inlineStr"/>
      <c r="AF136" t="inlineStr"/>
      <c r="AG136" t="inlineStr">
        <is>
          <t>dlp/2026/toy-story-5-open-edition</t>
        </is>
      </c>
    </row>
    <row r="137">
      <c r="A137" t="inlineStr">
        <is>
          <t>PHS-0136</t>
        </is>
      </c>
      <c r="B137" t="inlineStr">
        <is>
          <t>Atlantis open edition pins</t>
        </is>
      </c>
      <c r="C137" t="inlineStr">
        <is>
          <t>Disneyland Paris</t>
        </is>
      </c>
      <c r="D137" t="inlineStr"/>
      <c r="E137" t="inlineStr">
        <is>
          <t>2026-06-20</t>
        </is>
      </c>
      <c r="F137" t="n">
        <v>2026</v>
      </c>
      <c r="G137" t="inlineStr"/>
      <c r="H137" t="inlineStr"/>
      <c r="I137" t="inlineStr"/>
      <c r="J137" t="inlineStr"/>
      <c r="K137" t="inlineStr"/>
      <c r="L137" t="inlineStr">
        <is>
          <t>open edition</t>
        </is>
      </c>
      <c r="M137" t="inlineStr"/>
      <c r="N137" t="inlineStr"/>
      <c r="O137" t="inlineStr"/>
      <c r="P137" t="inlineStr"/>
      <c r="Q137" t="inlineStr"/>
      <c r="R137" t="n">
        <v>2</v>
      </c>
      <c r="S137">
        <f>IF(Q137="","",MAX(Q137-R137,0))</f>
        <v/>
      </c>
      <c r="T137" s="3">
        <f>IF(Q137="","",MIN(R137/Q137,1))</f>
        <v/>
      </c>
      <c r="U137" t="inlineStr">
        <is>
          <t>Kida; Milo</t>
        </is>
      </c>
      <c r="V137" t="inlineStr"/>
      <c r="W137" t="inlineStr">
        <is>
          <t>evidenced</t>
        </is>
      </c>
      <c r="X137" t="inlineStr">
        <is>
          <t>Low</t>
        </is>
      </c>
      <c r="Y137" t="inlineStr">
        <is>
          <t>https://mypincentral.com/blog_post/pin-releases-disneyland-paris-disneyland-paris-flyer-for-june-2026</t>
        </is>
      </c>
      <c r="Z137" t="inlineStr">
        <is>
          <t>secondary</t>
        </is>
      </c>
      <c r="AA137" t="inlineStr">
        <is>
          <t>https://www.mousesteps.com/2026/06/01/disneyland-paris-june-2026-pin-release-schedule-includes-toy-story-5-atlantis-pride-pins/</t>
        </is>
      </c>
      <c r="AB137" t="n">
        <v>2</v>
      </c>
      <c r="AC137" t="inlineStr"/>
      <c r="AD137" t="inlineStr"/>
      <c r="AE137" t="inlineStr"/>
      <c r="AF137" t="inlineStr"/>
      <c r="AG137" t="inlineStr">
        <is>
          <t>dlp/2026/atlantis-open-edition</t>
        </is>
      </c>
    </row>
    <row r="138">
      <c r="A138" t="inlineStr">
        <is>
          <t>PHS-0137</t>
        </is>
      </c>
      <c r="B138" t="inlineStr">
        <is>
          <t>Happy Father's Day</t>
        </is>
      </c>
      <c r="C138" t="inlineStr">
        <is>
          <t>Disneyland Paris</t>
        </is>
      </c>
      <c r="D138" t="inlineStr"/>
      <c r="E138" t="inlineStr">
        <is>
          <t>2026-06-20</t>
        </is>
      </c>
      <c r="F138" t="n">
        <v>2026</v>
      </c>
      <c r="G138" t="inlineStr"/>
      <c r="H138" t="inlineStr"/>
      <c r="I138" t="inlineStr"/>
      <c r="J138" t="inlineStr"/>
      <c r="K138" t="inlineStr"/>
      <c r="L138" t="inlineStr">
        <is>
          <t>limited edition</t>
        </is>
      </c>
      <c r="M138" t="n">
        <v>800</v>
      </c>
      <c r="N138" t="n">
        <v>18</v>
      </c>
      <c r="O138" t="inlineStr">
        <is>
          <t>EUR</t>
        </is>
      </c>
      <c r="P138" t="inlineStr"/>
      <c r="Q138" t="inlineStr"/>
      <c r="R138" t="n">
        <v>1</v>
      </c>
      <c r="S138">
        <f>IF(Q138="","",MAX(Q138-R138,0))</f>
        <v/>
      </c>
      <c r="T138" s="3">
        <f>IF(Q138="","",MIN(R138/Q138,1))</f>
        <v/>
      </c>
      <c r="U138" t="inlineStr">
        <is>
          <t>Mulan</t>
        </is>
      </c>
      <c r="V138" t="inlineStr"/>
      <c r="W138" t="inlineStr">
        <is>
          <t>evidenced</t>
        </is>
      </c>
      <c r="X138" t="inlineStr">
        <is>
          <t>Low</t>
        </is>
      </c>
      <c r="Y138" t="inlineStr">
        <is>
          <t>https://mypincentral.com/blog_post/pin-releases-disneyland-paris-disneyland-paris-flyer-for-june-2026</t>
        </is>
      </c>
      <c r="Z138" t="inlineStr">
        <is>
          <t>secondary</t>
        </is>
      </c>
      <c r="AA138" t="inlineStr">
        <is>
          <t>https://www.mousesteps.com/2026/06/01/disneyland-paris-june-2026-pin-release-schedule-includes-toy-story-5-atlantis-pride-pins/</t>
        </is>
      </c>
      <c r="AB138" t="n">
        <v>2</v>
      </c>
      <c r="AC138" t="inlineStr"/>
      <c r="AD138" t="inlineStr"/>
      <c r="AE138" t="inlineStr"/>
      <c r="AF138" t="inlineStr"/>
      <c r="AG138" t="inlineStr">
        <is>
          <t>dlp/2026/fathers-day-2026</t>
        </is>
      </c>
    </row>
    <row r="139">
      <c r="A139" t="inlineStr">
        <is>
          <t>PHS-0138</t>
        </is>
      </c>
      <c r="B139" t="inlineStr">
        <is>
          <t>Nick Summer 2026</t>
        </is>
      </c>
      <c r="C139" t="inlineStr">
        <is>
          <t>Disneyland Paris</t>
        </is>
      </c>
      <c r="D139" t="inlineStr"/>
      <c r="E139" t="inlineStr">
        <is>
          <t>2026-06-20</t>
        </is>
      </c>
      <c r="F139" t="n">
        <v>2026</v>
      </c>
      <c r="G139" t="inlineStr"/>
      <c r="H139" t="inlineStr"/>
      <c r="I139" t="inlineStr"/>
      <c r="J139" t="inlineStr"/>
      <c r="K139" t="inlineStr"/>
      <c r="L139" t="inlineStr">
        <is>
          <t>limited edition</t>
        </is>
      </c>
      <c r="M139" t="n">
        <v>800</v>
      </c>
      <c r="N139" t="n">
        <v>18</v>
      </c>
      <c r="O139" t="inlineStr">
        <is>
          <t>EUR</t>
        </is>
      </c>
      <c r="P139" t="inlineStr"/>
      <c r="Q139" t="inlineStr"/>
      <c r="R139" t="n">
        <v>1</v>
      </c>
      <c r="S139">
        <f>IF(Q139="","",MAX(Q139-R139,0))</f>
        <v/>
      </c>
      <c r="T139" s="3">
        <f>IF(Q139="","",MIN(R139/Q139,1))</f>
        <v/>
      </c>
      <c r="U139" t="inlineStr">
        <is>
          <t>Nick Wilde</t>
        </is>
      </c>
      <c r="V139" t="inlineStr"/>
      <c r="W139" t="inlineStr">
        <is>
          <t>evidenced</t>
        </is>
      </c>
      <c r="X139" t="inlineStr">
        <is>
          <t>Low</t>
        </is>
      </c>
      <c r="Y139" t="inlineStr">
        <is>
          <t>https://mypincentral.com/blog_post/pin-releases-disneyland-paris-disneyland-paris-flyer-for-june-2026</t>
        </is>
      </c>
      <c r="Z139" t="inlineStr">
        <is>
          <t>secondary</t>
        </is>
      </c>
      <c r="AA139" t="inlineStr">
        <is>
          <t>https://pixiedustdlp.com/2026/06/01/pins-disneyland-paris-06-2026/</t>
        </is>
      </c>
      <c r="AB139" t="n">
        <v>3</v>
      </c>
      <c r="AC139" t="inlineStr"/>
      <c r="AD139" t="inlineStr"/>
      <c r="AE139" t="inlineStr"/>
      <c r="AF139" t="inlineStr"/>
      <c r="AG139" t="inlineStr">
        <is>
          <t>dlp/2026/nick-summer-2026</t>
        </is>
      </c>
    </row>
    <row r="140">
      <c r="A140" t="inlineStr">
        <is>
          <t>PHS-0139</t>
        </is>
      </c>
      <c r="B140" t="inlineStr">
        <is>
          <t>Rapunzel Studio Princess Series</t>
        </is>
      </c>
      <c r="C140" t="inlineStr">
        <is>
          <t>Disneyland Paris</t>
        </is>
      </c>
      <c r="D140" t="inlineStr"/>
      <c r="E140" t="inlineStr">
        <is>
          <t>2026-06-20</t>
        </is>
      </c>
      <c r="F140" t="n">
        <v>2026</v>
      </c>
      <c r="G140" t="inlineStr"/>
      <c r="H140" t="inlineStr"/>
      <c r="I140" t="inlineStr"/>
      <c r="J140" t="inlineStr"/>
      <c r="K140" t="inlineStr"/>
      <c r="L140" t="inlineStr">
        <is>
          <t>limited edition</t>
        </is>
      </c>
      <c r="M140" t="n">
        <v>800</v>
      </c>
      <c r="N140" t="n">
        <v>20</v>
      </c>
      <c r="O140" t="inlineStr">
        <is>
          <t>EUR</t>
        </is>
      </c>
      <c r="P140" t="inlineStr"/>
      <c r="Q140" t="inlineStr"/>
      <c r="R140" t="n">
        <v>1</v>
      </c>
      <c r="S140">
        <f>IF(Q140="","",MAX(Q140-R140,0))</f>
        <v/>
      </c>
      <c r="T140" s="3">
        <f>IF(Q140="","",MIN(R140/Q140,1))</f>
        <v/>
      </c>
      <c r="U140" t="inlineStr">
        <is>
          <t>Rapunzel</t>
        </is>
      </c>
      <c r="V140" t="inlineStr"/>
      <c r="W140" t="inlineStr">
        <is>
          <t>evidenced</t>
        </is>
      </c>
      <c r="X140" t="inlineStr">
        <is>
          <t>Low</t>
        </is>
      </c>
      <c r="Y140" t="inlineStr">
        <is>
          <t>https://mypincentral.com/blog_post/pin-releases-disneyland-paris-disneyland-paris-flyer-for-june-2026</t>
        </is>
      </c>
      <c r="Z140" t="inlineStr">
        <is>
          <t>secondary</t>
        </is>
      </c>
      <c r="AA140" t="inlineStr">
        <is>
          <t>https://pixiedustdlp.com/2026/06/01/pins-disneyland-paris-06-2026/</t>
        </is>
      </c>
      <c r="AB140" t="n">
        <v>3</v>
      </c>
      <c r="AC140" t="inlineStr"/>
      <c r="AD140" t="inlineStr"/>
      <c r="AE140" t="inlineStr"/>
      <c r="AF140" t="inlineStr"/>
      <c r="AG140" t="inlineStr">
        <is>
          <t>dlp/2026/princess-studio-rapunzel</t>
        </is>
      </c>
    </row>
    <row r="141">
      <c r="A141" t="inlineStr">
        <is>
          <t>PHS-0140</t>
        </is>
      </c>
      <c r="B141" t="inlineStr">
        <is>
          <t>Lilo &amp; Stitch Waves Series</t>
        </is>
      </c>
      <c r="C141" t="inlineStr">
        <is>
          <t>Disneyland Paris</t>
        </is>
      </c>
      <c r="D141" t="inlineStr"/>
      <c r="E141" t="inlineStr">
        <is>
          <t>2026-06-20</t>
        </is>
      </c>
      <c r="F141" t="n">
        <v>2026</v>
      </c>
      <c r="G141" t="inlineStr"/>
      <c r="H141" t="inlineStr"/>
      <c r="I141" t="inlineStr"/>
      <c r="J141" t="inlineStr"/>
      <c r="K141" t="inlineStr"/>
      <c r="L141" t="inlineStr">
        <is>
          <t>limited edition</t>
        </is>
      </c>
      <c r="M141" t="n">
        <v>800</v>
      </c>
      <c r="N141" t="n">
        <v>25</v>
      </c>
      <c r="O141" t="inlineStr">
        <is>
          <t>EUR</t>
        </is>
      </c>
      <c r="P141" t="inlineStr"/>
      <c r="Q141" t="inlineStr"/>
      <c r="R141" t="n">
        <v>1</v>
      </c>
      <c r="S141">
        <f>IF(Q141="","",MAX(Q141-R141,0))</f>
        <v/>
      </c>
      <c r="T141" s="3">
        <f>IF(Q141="","",MIN(R141/Q141,1))</f>
        <v/>
      </c>
      <c r="U141" t="inlineStr">
        <is>
          <t>Lilo; Stitch</t>
        </is>
      </c>
      <c r="V141" t="inlineStr"/>
      <c r="W141" t="inlineStr">
        <is>
          <t>evidenced</t>
        </is>
      </c>
      <c r="X141" t="inlineStr">
        <is>
          <t>Low</t>
        </is>
      </c>
      <c r="Y141" t="inlineStr">
        <is>
          <t>https://mypincentral.com/blog_post/pin-releases-disneyland-paris-disneyland-paris-flyer-for-june-2026</t>
        </is>
      </c>
      <c r="Z141" t="inlineStr">
        <is>
          <t>secondary</t>
        </is>
      </c>
      <c r="AA141" t="inlineStr">
        <is>
          <t>https://www.mousesteps.com/2026/06/01/disneyland-paris-june-2026-pin-release-schedule-includes-toy-story-5-atlantis-pride-pins/</t>
        </is>
      </c>
      <c r="AB141" t="n">
        <v>2</v>
      </c>
      <c r="AC141" t="inlineStr"/>
      <c r="AD141" t="inlineStr"/>
      <c r="AE141" t="inlineStr"/>
      <c r="AF141" t="inlineStr"/>
      <c r="AG141" t="inlineStr">
        <is>
          <t>dlp/2026/waves-series-lilo-stitch</t>
        </is>
      </c>
    </row>
    <row r="142">
      <c r="A142" t="inlineStr">
        <is>
          <t>PHS-0141</t>
        </is>
      </c>
      <c r="B142" t="inlineStr">
        <is>
          <t>Disney Tales of Magic: Lilo &amp; Stitch</t>
        </is>
      </c>
      <c r="C142" t="inlineStr">
        <is>
          <t>Disneyland Paris</t>
        </is>
      </c>
      <c r="D142" t="inlineStr"/>
      <c r="E142" t="inlineStr">
        <is>
          <t>2026-06-27</t>
        </is>
      </c>
      <c r="F142" t="n">
        <v>2026</v>
      </c>
      <c r="G142" t="inlineStr"/>
      <c r="H142" t="inlineStr"/>
      <c r="I142" t="inlineStr"/>
      <c r="J142" t="inlineStr"/>
      <c r="K142" t="inlineStr"/>
      <c r="L142" t="inlineStr">
        <is>
          <t>limited edition</t>
        </is>
      </c>
      <c r="M142" t="n">
        <v>800</v>
      </c>
      <c r="N142" t="n">
        <v>20</v>
      </c>
      <c r="O142" t="inlineStr">
        <is>
          <t>EUR</t>
        </is>
      </c>
      <c r="P142" t="inlineStr"/>
      <c r="Q142" t="inlineStr"/>
      <c r="R142" t="n">
        <v>1</v>
      </c>
      <c r="S142">
        <f>IF(Q142="","",MAX(Q142-R142,0))</f>
        <v/>
      </c>
      <c r="T142" s="3">
        <f>IF(Q142="","",MIN(R142/Q142,1))</f>
        <v/>
      </c>
      <c r="U142" t="inlineStr">
        <is>
          <t>Lilo; Stitch</t>
        </is>
      </c>
      <c r="V142" t="inlineStr"/>
      <c r="W142" t="inlineStr">
        <is>
          <t>evidenced</t>
        </is>
      </c>
      <c r="X142" t="inlineStr">
        <is>
          <t>Low</t>
        </is>
      </c>
      <c r="Y142" t="inlineStr">
        <is>
          <t>https://mypincentral.com/blog_post/pin-releases-disneyland-paris-disneyland-paris-flyer-for-june-2026</t>
        </is>
      </c>
      <c r="Z142" t="inlineStr">
        <is>
          <t>secondary</t>
        </is>
      </c>
      <c r="AA142" t="inlineStr">
        <is>
          <t>https://pixiedustdlp.com/2026/06/01/pins-disneyland-paris-06-2026/</t>
        </is>
      </c>
      <c r="AB142" t="n">
        <v>3</v>
      </c>
      <c r="AC142" t="inlineStr"/>
      <c r="AD142" t="inlineStr"/>
      <c r="AE142" t="inlineStr"/>
      <c r="AF142" t="inlineStr"/>
      <c r="AG142" t="inlineStr">
        <is>
          <t>dlp/2026/tales-of-magic-lilo-stitch</t>
        </is>
      </c>
    </row>
    <row r="143">
      <c r="A143" t="inlineStr">
        <is>
          <t>PHS-0142</t>
        </is>
      </c>
      <c r="B143" t="inlineStr">
        <is>
          <t>Alice in Wonderland 75th Anniversary Keyhole</t>
        </is>
      </c>
      <c r="C143" t="inlineStr">
        <is>
          <t>Disneyland Paris</t>
        </is>
      </c>
      <c r="D143" t="inlineStr"/>
      <c r="E143" t="inlineStr">
        <is>
          <t>2026-07-04</t>
        </is>
      </c>
      <c r="F143" t="n">
        <v>2026</v>
      </c>
      <c r="G143" t="inlineStr"/>
      <c r="H143" t="inlineStr"/>
      <c r="I143" t="inlineStr"/>
      <c r="J143" t="inlineStr"/>
      <c r="K143" t="inlineStr"/>
      <c r="L143" t="inlineStr">
        <is>
          <t>limited edition</t>
        </is>
      </c>
      <c r="M143" t="n">
        <v>800</v>
      </c>
      <c r="N143" t="n">
        <v>30</v>
      </c>
      <c r="O143" t="inlineStr">
        <is>
          <t>EUR</t>
        </is>
      </c>
      <c r="P143" t="inlineStr"/>
      <c r="Q143" t="inlineStr"/>
      <c r="R143" t="n">
        <v>1</v>
      </c>
      <c r="S143">
        <f>IF(Q143="","",MAX(Q143-R143,0))</f>
        <v/>
      </c>
      <c r="T143" s="3">
        <f>IF(Q143="","",MIN(R143/Q143,1))</f>
        <v/>
      </c>
      <c r="U143" t="inlineStr">
        <is>
          <t>Alice; Cheshire Cat</t>
        </is>
      </c>
      <c r="V143" t="inlineStr"/>
      <c r="W143" t="inlineStr">
        <is>
          <t>evidenced</t>
        </is>
      </c>
      <c r="X143" t="inlineStr">
        <is>
          <t>Low</t>
        </is>
      </c>
      <c r="Y143" t="inlineStr">
        <is>
          <t>https://mypincentral.com/blog_post/pin-releases-disneyland-paris-disneyland-paris-flyer-for-july-2026</t>
        </is>
      </c>
      <c r="Z143" t="inlineStr">
        <is>
          <t>secondary</t>
        </is>
      </c>
      <c r="AA143" t="inlineStr">
        <is>
          <t>https://pixiedustdlp.com/2026/06/29/pin-trading-disneyland-paris-july-2026/</t>
        </is>
      </c>
      <c r="AB143" t="n">
        <v>3</v>
      </c>
      <c r="AC143" t="inlineStr"/>
      <c r="AD143" t="inlineStr"/>
      <c r="AE143" t="inlineStr"/>
      <c r="AF143" t="inlineStr"/>
      <c r="AG143" t="inlineStr">
        <is>
          <t>dlp/2026/alice-75th-anniversary-keyhole</t>
        </is>
      </c>
    </row>
    <row r="144">
      <c r="A144" t="inlineStr">
        <is>
          <t>PHS-0143</t>
        </is>
      </c>
      <c r="B144" t="inlineStr">
        <is>
          <t>Alice in Wonderland open edition pins</t>
        </is>
      </c>
      <c r="C144" t="inlineStr">
        <is>
          <t>Disneyland Paris</t>
        </is>
      </c>
      <c r="D144" t="inlineStr"/>
      <c r="E144" t="inlineStr">
        <is>
          <t>2026-07-04</t>
        </is>
      </c>
      <c r="F144" t="n">
        <v>2026</v>
      </c>
      <c r="G144" t="inlineStr"/>
      <c r="H144" t="inlineStr"/>
      <c r="I144" t="inlineStr"/>
      <c r="J144" t="inlineStr"/>
      <c r="K144" t="inlineStr"/>
      <c r="L144" t="inlineStr">
        <is>
          <t>open edition</t>
        </is>
      </c>
      <c r="M144" t="inlineStr"/>
      <c r="N144" t="inlineStr"/>
      <c r="O144" t="inlineStr">
        <is>
          <t>EUR</t>
        </is>
      </c>
      <c r="P144" t="inlineStr"/>
      <c r="Q144" t="n">
        <v>5</v>
      </c>
      <c r="R144" t="n">
        <v>5</v>
      </c>
      <c r="S144">
        <f>IF(Q144="","",MAX(Q144-R144,0))</f>
        <v/>
      </c>
      <c r="T144" s="3">
        <f>IF(Q144="","",MIN(R144/Q144,1))</f>
        <v/>
      </c>
      <c r="U144" t="inlineStr">
        <is>
          <t>Alice; Dinah; Mad Hatter; Queen of Hearts; Tweedle Dee; Tweedle Dum</t>
        </is>
      </c>
      <c r="V144" t="inlineStr"/>
      <c r="W144" t="inlineStr">
        <is>
          <t>evidenced</t>
        </is>
      </c>
      <c r="X144" t="inlineStr">
        <is>
          <t>Low</t>
        </is>
      </c>
      <c r="Y144" t="inlineStr">
        <is>
          <t>https://mypincentral.com/blog_post/pin-releases-disneyland-paris-disneyland-paris-flyer-for-july-2026</t>
        </is>
      </c>
      <c r="Z144" t="inlineStr">
        <is>
          <t>secondary</t>
        </is>
      </c>
      <c r="AA144" t="inlineStr">
        <is>
          <t>https://www.mousesteps.com/2026/06/29/disneyland-paris-july-2026-pin-release-schedule-revealed/</t>
        </is>
      </c>
      <c r="AB144" t="n">
        <v>2</v>
      </c>
      <c r="AC144" t="inlineStr"/>
      <c r="AD144" t="inlineStr"/>
      <c r="AE144" t="inlineStr"/>
      <c r="AF144" t="inlineStr"/>
      <c r="AG144" t="inlineStr">
        <is>
          <t>dlp/2026/alice-open-edition-july</t>
        </is>
      </c>
    </row>
    <row r="145">
      <c r="A145" t="inlineStr">
        <is>
          <t>PHS-0144</t>
        </is>
      </c>
      <c r="B145" t="inlineStr">
        <is>
          <t>Cinderella (Princess Studio Series)</t>
        </is>
      </c>
      <c r="C145" t="inlineStr">
        <is>
          <t>Disneyland Paris</t>
        </is>
      </c>
      <c r="D145" t="inlineStr"/>
      <c r="E145" t="inlineStr">
        <is>
          <t>2026-07-11</t>
        </is>
      </c>
      <c r="F145" t="n">
        <v>2026</v>
      </c>
      <c r="G145" t="inlineStr"/>
      <c r="H145" t="inlineStr">
        <is>
          <t>Disney Tales of Magic</t>
        </is>
      </c>
      <c r="I145" t="inlineStr"/>
      <c r="J145" t="inlineStr"/>
      <c r="K145" t="inlineStr"/>
      <c r="L145" t="inlineStr">
        <is>
          <t>limited edition</t>
        </is>
      </c>
      <c r="M145" t="n">
        <v>800</v>
      </c>
      <c r="N145" t="n">
        <v>20</v>
      </c>
      <c r="O145" t="inlineStr">
        <is>
          <t>EUR</t>
        </is>
      </c>
      <c r="P145" t="inlineStr"/>
      <c r="Q145" t="inlineStr"/>
      <c r="R145" t="n">
        <v>1</v>
      </c>
      <c r="S145">
        <f>IF(Q145="","",MAX(Q145-R145,0))</f>
        <v/>
      </c>
      <c r="T145" s="3">
        <f>IF(Q145="","",MIN(R145/Q145,1))</f>
        <v/>
      </c>
      <c r="U145" t="inlineStr">
        <is>
          <t>Cinderella</t>
        </is>
      </c>
      <c r="V145" t="inlineStr"/>
      <c r="W145" t="inlineStr">
        <is>
          <t>evidenced</t>
        </is>
      </c>
      <c r="X145" t="inlineStr">
        <is>
          <t>Low</t>
        </is>
      </c>
      <c r="Y145" t="inlineStr">
        <is>
          <t>https://mypincentral.com/blog_post/pin-releases-disneyland-paris-disneyland-paris-flyer-for-july-2026</t>
        </is>
      </c>
      <c r="Z145" t="inlineStr">
        <is>
          <t>secondary</t>
        </is>
      </c>
      <c r="AA145" t="inlineStr">
        <is>
          <t>https://www.mousesteps.com/2026/06/29/disneyland-paris-july-2026-pin-release-schedule-revealed/</t>
        </is>
      </c>
      <c r="AB145" t="n">
        <v>2</v>
      </c>
      <c r="AC145" t="inlineStr"/>
      <c r="AD145" t="inlineStr"/>
      <c r="AE145" t="inlineStr"/>
      <c r="AF145" t="inlineStr"/>
      <c r="AG145" t="inlineStr">
        <is>
          <t>dlp/2026/cinderella-july-le</t>
        </is>
      </c>
    </row>
    <row r="146">
      <c r="A146" t="inlineStr">
        <is>
          <t>PHS-0145</t>
        </is>
      </c>
      <c r="B146" t="inlineStr">
        <is>
          <t>Stitch, Angel, Scrump open edition</t>
        </is>
      </c>
      <c r="C146" t="inlineStr">
        <is>
          <t>Disneyland Paris</t>
        </is>
      </c>
      <c r="D146" t="inlineStr"/>
      <c r="E146" t="inlineStr">
        <is>
          <t>2026-07-11</t>
        </is>
      </c>
      <c r="F146" t="n">
        <v>2026</v>
      </c>
      <c r="G146" t="inlineStr"/>
      <c r="H146" t="inlineStr"/>
      <c r="I146" t="inlineStr"/>
      <c r="J146" t="inlineStr"/>
      <c r="K146" t="inlineStr"/>
      <c r="L146" t="inlineStr">
        <is>
          <t>open edition</t>
        </is>
      </c>
      <c r="M146" t="inlineStr"/>
      <c r="N146" t="inlineStr"/>
      <c r="O146" t="inlineStr"/>
      <c r="P146" t="inlineStr"/>
      <c r="Q146" t="inlineStr"/>
      <c r="R146" t="n">
        <v>3</v>
      </c>
      <c r="S146">
        <f>IF(Q146="","",MAX(Q146-R146,0))</f>
        <v/>
      </c>
      <c r="T146" s="3">
        <f>IF(Q146="","",MIN(R146/Q146,1))</f>
        <v/>
      </c>
      <c r="U146" t="inlineStr">
        <is>
          <t>Angel; Scrump; Stitch</t>
        </is>
      </c>
      <c r="V146" t="inlineStr"/>
      <c r="W146" t="inlineStr">
        <is>
          <t>evidenced</t>
        </is>
      </c>
      <c r="X146" t="inlineStr">
        <is>
          <t>Low</t>
        </is>
      </c>
      <c r="Y146" t="inlineStr">
        <is>
          <t>https://pixiedustdlp.com/2026/06/29/pin-trading-disneyland-paris-july-2026/</t>
        </is>
      </c>
      <c r="Z146" t="inlineStr">
        <is>
          <t>secondary</t>
        </is>
      </c>
      <c r="AA146" t="inlineStr">
        <is>
          <t>https://www.mousesteps.com/2026/06/29/disneyland-paris-july-2026-pin-release-schedule-revealed/</t>
        </is>
      </c>
      <c r="AB146" t="n">
        <v>2</v>
      </c>
      <c r="AC146" t="inlineStr"/>
      <c r="AD146" t="inlineStr"/>
      <c r="AE146" t="inlineStr"/>
      <c r="AF146" t="inlineStr"/>
      <c r="AG146" t="inlineStr">
        <is>
          <t>dlp/2026/stitch-angel-scrump-open-edition</t>
        </is>
      </c>
    </row>
    <row r="147">
      <c r="A147" t="inlineStr">
        <is>
          <t>PHS-0146</t>
        </is>
      </c>
      <c r="B147" t="inlineStr">
        <is>
          <t>Beauty and the Beast (Disney Tales of Magic)</t>
        </is>
      </c>
      <c r="C147" t="inlineStr">
        <is>
          <t>Disneyland Paris</t>
        </is>
      </c>
      <c r="D147" t="inlineStr"/>
      <c r="E147" t="inlineStr">
        <is>
          <t>2026-07-11</t>
        </is>
      </c>
      <c r="F147" t="n">
        <v>2026</v>
      </c>
      <c r="G147" t="inlineStr"/>
      <c r="H147" t="inlineStr"/>
      <c r="I147" t="inlineStr"/>
      <c r="J147" t="inlineStr"/>
      <c r="K147" t="inlineStr"/>
      <c r="L147" t="inlineStr">
        <is>
          <t>limited edition</t>
        </is>
      </c>
      <c r="M147" t="n">
        <v>800</v>
      </c>
      <c r="N147" t="n">
        <v>20</v>
      </c>
      <c r="O147" t="inlineStr">
        <is>
          <t>EUR</t>
        </is>
      </c>
      <c r="P147" t="inlineStr"/>
      <c r="Q147" t="inlineStr"/>
      <c r="R147" t="n">
        <v>1</v>
      </c>
      <c r="S147">
        <f>IF(Q147="","",MAX(Q147-R147,0))</f>
        <v/>
      </c>
      <c r="T147" s="3">
        <f>IF(Q147="","",MIN(R147/Q147,1))</f>
        <v/>
      </c>
      <c r="U147" t="inlineStr">
        <is>
          <t>Beast; Belle</t>
        </is>
      </c>
      <c r="V147" t="inlineStr"/>
      <c r="W147" t="inlineStr">
        <is>
          <t>evidenced</t>
        </is>
      </c>
      <c r="X147" t="inlineStr">
        <is>
          <t>Low</t>
        </is>
      </c>
      <c r="Y147" t="inlineStr">
        <is>
          <t>https://mypincentral.com/blog_post/pin-releases-disneyland-paris-disneyland-paris-flyer-for-july-2026</t>
        </is>
      </c>
      <c r="Z147" t="inlineStr">
        <is>
          <t>secondary</t>
        </is>
      </c>
      <c r="AA147" t="inlineStr">
        <is>
          <t>https://pixiedustdlp.com/2026/06/29/pin-trading-disneyland-paris-july-2026/</t>
        </is>
      </c>
      <c r="AB147" t="n">
        <v>3</v>
      </c>
      <c r="AC147" t="inlineStr"/>
      <c r="AD147" t="inlineStr"/>
      <c r="AE147" t="inlineStr"/>
      <c r="AF147" t="inlineStr"/>
      <c r="AG147" t="inlineStr">
        <is>
          <t>dlp/2026/tales-of-magic-beauty-and-the-beast</t>
        </is>
      </c>
    </row>
    <row r="148">
      <c r="A148" t="inlineStr">
        <is>
          <t>PHS-0147</t>
        </is>
      </c>
      <c r="B148" t="inlineStr">
        <is>
          <t>Bastille Day 2026</t>
        </is>
      </c>
      <c r="C148" t="inlineStr">
        <is>
          <t>Disneyland Paris</t>
        </is>
      </c>
      <c r="D148" t="inlineStr"/>
      <c r="E148" t="inlineStr">
        <is>
          <t>2026-07-14</t>
        </is>
      </c>
      <c r="F148" t="n">
        <v>2026</v>
      </c>
      <c r="G148" t="inlineStr"/>
      <c r="H148" t="inlineStr"/>
      <c r="I148" t="inlineStr"/>
      <c r="J148" t="inlineStr"/>
      <c r="K148" t="inlineStr"/>
      <c r="L148" t="inlineStr">
        <is>
          <t>limited edition</t>
        </is>
      </c>
      <c r="M148" t="n">
        <v>800</v>
      </c>
      <c r="N148" t="n">
        <v>18</v>
      </c>
      <c r="O148" t="inlineStr">
        <is>
          <t>EUR</t>
        </is>
      </c>
      <c r="P148" t="inlineStr"/>
      <c r="Q148" t="inlineStr"/>
      <c r="R148" t="n">
        <v>1</v>
      </c>
      <c r="S148">
        <f>IF(Q148="","",MAX(Q148-R148,0))</f>
        <v/>
      </c>
      <c r="T148" s="3">
        <f>IF(Q148="","",MIN(R148/Q148,1))</f>
        <v/>
      </c>
      <c r="U148" t="inlineStr">
        <is>
          <t>Remy</t>
        </is>
      </c>
      <c r="V148" t="inlineStr"/>
      <c r="W148" t="inlineStr">
        <is>
          <t>evidenced</t>
        </is>
      </c>
      <c r="X148" t="inlineStr">
        <is>
          <t>Low</t>
        </is>
      </c>
      <c r="Y148" t="inlineStr">
        <is>
          <t>https://mypincentral.com/blog_post/pin-releases-disneyland-paris-disneyland-paris-flyer-for-july-2026</t>
        </is>
      </c>
      <c r="Z148" t="inlineStr">
        <is>
          <t>secondary</t>
        </is>
      </c>
      <c r="AA148" t="inlineStr">
        <is>
          <t>https://pixiedustdlp.com/2026/06/29/pin-trading-disneyland-paris-july-2026/</t>
        </is>
      </c>
      <c r="AB148" t="n">
        <v>3</v>
      </c>
      <c r="AC148" t="inlineStr"/>
      <c r="AD148" t="inlineStr"/>
      <c r="AE148" t="inlineStr"/>
      <c r="AF148" t="inlineStr"/>
      <c r="AG148" t="inlineStr">
        <is>
          <t>dlp/2026/bastille-day-2026</t>
        </is>
      </c>
    </row>
    <row r="149">
      <c r="A149" t="inlineStr">
        <is>
          <t>PHS-0148</t>
        </is>
      </c>
      <c r="B149" t="inlineStr">
        <is>
          <t>Attraction open edition pins</t>
        </is>
      </c>
      <c r="C149" t="inlineStr">
        <is>
          <t>Disneyland Paris</t>
        </is>
      </c>
      <c r="D149" t="inlineStr"/>
      <c r="E149" t="inlineStr">
        <is>
          <t>2026-07-18</t>
        </is>
      </c>
      <c r="F149" t="n">
        <v>2026</v>
      </c>
      <c r="G149" t="inlineStr"/>
      <c r="H149" t="inlineStr"/>
      <c r="I149" t="inlineStr"/>
      <c r="J149" t="inlineStr"/>
      <c r="K149" t="inlineStr"/>
      <c r="L149" t="inlineStr">
        <is>
          <t>open edition</t>
        </is>
      </c>
      <c r="M149" t="inlineStr"/>
      <c r="N149" t="inlineStr"/>
      <c r="O149" t="inlineStr"/>
      <c r="P149" t="inlineStr"/>
      <c r="Q149" t="n">
        <v>4</v>
      </c>
      <c r="R149" t="n">
        <v>2</v>
      </c>
      <c r="S149">
        <f>IF(Q149="","",MAX(Q149-R149,0))</f>
        <v/>
      </c>
      <c r="T149" s="3">
        <f>IF(Q149="","",MIN(R149/Q149,1))</f>
        <v/>
      </c>
      <c r="U149" t="inlineStr">
        <is>
          <t>Goofy; Minnie Mouse; Mickey Mouse</t>
        </is>
      </c>
      <c r="V149" t="inlineStr"/>
      <c r="W149" t="inlineStr">
        <is>
          <t>evidenced</t>
        </is>
      </c>
      <c r="X149" t="inlineStr">
        <is>
          <t>Low</t>
        </is>
      </c>
      <c r="Y149" t="inlineStr">
        <is>
          <t>https://pixiedustdlp.com/2026/06/29/pin-trading-disneyland-paris-july-2026/</t>
        </is>
      </c>
      <c r="Z149" t="inlineStr">
        <is>
          <t>secondary</t>
        </is>
      </c>
      <c r="AA149" t="inlineStr">
        <is>
          <t>https://www.mousesteps.com/2026/06/29/disneyland-paris-july-2026-pin-release-schedule-revealed/</t>
        </is>
      </c>
      <c r="AB149" t="n">
        <v>2</v>
      </c>
      <c r="AC149" t="inlineStr"/>
      <c r="AD149" t="inlineStr"/>
      <c r="AE149" t="inlineStr"/>
      <c r="AF149" t="inlineStr"/>
      <c r="AG149" t="inlineStr">
        <is>
          <t>dlp/2026/attraction-open-edition-july</t>
        </is>
      </c>
    </row>
    <row r="150">
      <c r="A150" t="inlineStr">
        <is>
          <t>PHS-0149</t>
        </is>
      </c>
      <c r="B150" t="inlineStr">
        <is>
          <t>Vaiana (Moana) Waves Series</t>
        </is>
      </c>
      <c r="C150" t="inlineStr">
        <is>
          <t>Disneyland Paris</t>
        </is>
      </c>
      <c r="D150" t="inlineStr"/>
      <c r="E150" t="inlineStr">
        <is>
          <t>2026-07-18</t>
        </is>
      </c>
      <c r="F150" t="n">
        <v>2026</v>
      </c>
      <c r="G150" t="inlineStr"/>
      <c r="H150" t="inlineStr"/>
      <c r="I150" t="inlineStr"/>
      <c r="J150" t="inlineStr"/>
      <c r="K150" t="inlineStr"/>
      <c r="L150" t="inlineStr">
        <is>
          <t>limited edition</t>
        </is>
      </c>
      <c r="M150" t="n">
        <v>800</v>
      </c>
      <c r="N150" t="n">
        <v>25</v>
      </c>
      <c r="O150" t="inlineStr">
        <is>
          <t>EUR</t>
        </is>
      </c>
      <c r="P150" t="inlineStr"/>
      <c r="Q150" t="inlineStr"/>
      <c r="R150" t="n">
        <v>1</v>
      </c>
      <c r="S150">
        <f>IF(Q150="","",MAX(Q150-R150,0))</f>
        <v/>
      </c>
      <c r="T150" s="3">
        <f>IF(Q150="","",MIN(R150/Q150,1))</f>
        <v/>
      </c>
      <c r="U150" t="inlineStr">
        <is>
          <t>Moana</t>
        </is>
      </c>
      <c r="V150" t="inlineStr"/>
      <c r="W150" t="inlineStr">
        <is>
          <t>evidenced</t>
        </is>
      </c>
      <c r="X150" t="inlineStr">
        <is>
          <t>Low</t>
        </is>
      </c>
      <c r="Y150" t="inlineStr">
        <is>
          <t>https://mypincentral.com/blog_post/pin-releases-disneyland-paris-disneyland-paris-flyer-for-july-2026</t>
        </is>
      </c>
      <c r="Z150" t="inlineStr">
        <is>
          <t>secondary</t>
        </is>
      </c>
      <c r="AA150" t="inlineStr">
        <is>
          <t>https://www.mousesteps.com/2026/06/29/disneyland-paris-july-2026-pin-release-schedule-revealed/</t>
        </is>
      </c>
      <c r="AB150" t="n">
        <v>2</v>
      </c>
      <c r="AC150" t="inlineStr"/>
      <c r="AD150" t="inlineStr"/>
      <c r="AE150" t="inlineStr"/>
      <c r="AF150" t="inlineStr"/>
      <c r="AG150" t="inlineStr">
        <is>
          <t>dlp/2026/waves-series-vaiana</t>
        </is>
      </c>
    </row>
    <row r="151">
      <c r="A151" t="inlineStr">
        <is>
          <t>PHS-0150</t>
        </is>
      </c>
      <c r="B151" t="inlineStr">
        <is>
          <t>The Hunchback of Notre Dame 30th Anniversary Jumbo Pin</t>
        </is>
      </c>
      <c r="C151" t="inlineStr">
        <is>
          <t>Disneyland Paris</t>
        </is>
      </c>
      <c r="D151" t="inlineStr"/>
      <c r="E151" t="inlineStr">
        <is>
          <t>2026-07-25</t>
        </is>
      </c>
      <c r="F151" t="n">
        <v>2026</v>
      </c>
      <c r="G151" t="inlineStr"/>
      <c r="H151" t="inlineStr"/>
      <c r="I151" t="inlineStr">
        <is>
          <t>jumbo</t>
        </is>
      </c>
      <c r="J151" t="inlineStr"/>
      <c r="K151" t="inlineStr"/>
      <c r="L151" t="inlineStr">
        <is>
          <t>limited edition</t>
        </is>
      </c>
      <c r="M151" t="n">
        <v>300</v>
      </c>
      <c r="N151" t="n">
        <v>60</v>
      </c>
      <c r="O151" t="inlineStr">
        <is>
          <t>EUR</t>
        </is>
      </c>
      <c r="P151" t="inlineStr"/>
      <c r="Q151" t="inlineStr"/>
      <c r="R151" t="n">
        <v>1</v>
      </c>
      <c r="S151">
        <f>IF(Q151="","",MAX(Q151-R151,0))</f>
        <v/>
      </c>
      <c r="T151" s="3">
        <f>IF(Q151="","",MIN(R151/Q151,1))</f>
        <v/>
      </c>
      <c r="U151" t="inlineStr">
        <is>
          <t>Djali; Esmeralda; Judge Frollo; Quasimodo</t>
        </is>
      </c>
      <c r="V151" t="inlineStr"/>
      <c r="W151" t="inlineStr">
        <is>
          <t>evidenced</t>
        </is>
      </c>
      <c r="X151" t="inlineStr">
        <is>
          <t>Low</t>
        </is>
      </c>
      <c r="Y151" t="inlineStr">
        <is>
          <t>https://mypincentral.com/blog_post/pin-releases-disneyland-paris-disneyland-paris-flyer-for-july-2026</t>
        </is>
      </c>
      <c r="Z151" t="inlineStr">
        <is>
          <t>secondary</t>
        </is>
      </c>
      <c r="AA151" t="inlineStr">
        <is>
          <t>https://pixiedustdlp.com/2026/06/29/pin-trading-disneyland-paris-july-2026/</t>
        </is>
      </c>
      <c r="AB151" t="n">
        <v>3</v>
      </c>
      <c r="AC151" t="inlineStr"/>
      <c r="AD151" t="inlineStr"/>
      <c r="AE151" t="inlineStr"/>
      <c r="AF151" t="inlineStr"/>
      <c r="AG151" t="inlineStr">
        <is>
          <t>dlp/2026/hunchback-30th-anniversary-jumbo</t>
        </is>
      </c>
    </row>
    <row r="152">
      <c r="A152" t="inlineStr">
        <is>
          <t>PHS-0151</t>
        </is>
      </c>
      <c r="B152" t="inlineStr">
        <is>
          <t>Fruits collection</t>
        </is>
      </c>
      <c r="C152" t="inlineStr">
        <is>
          <t>Disneyland Paris</t>
        </is>
      </c>
      <c r="D152" t="inlineStr"/>
      <c r="E152" t="inlineStr">
        <is>
          <t>2026-08-08</t>
        </is>
      </c>
      <c r="F152" t="n">
        <v>2026</v>
      </c>
      <c r="G152" t="inlineStr"/>
      <c r="H152" t="inlineStr"/>
      <c r="I152" t="inlineStr"/>
      <c r="J152" t="inlineStr"/>
      <c r="K152" t="inlineStr"/>
      <c r="L152" t="inlineStr">
        <is>
          <t>open edition</t>
        </is>
      </c>
      <c r="M152" t="inlineStr"/>
      <c r="N152" t="inlineStr"/>
      <c r="O152" t="inlineStr"/>
      <c r="P152" t="inlineStr"/>
      <c r="Q152" t="inlineStr"/>
      <c r="R152" t="n">
        <v>5</v>
      </c>
      <c r="S152">
        <f>IF(Q152="","",MAX(Q152-R152,0))</f>
        <v/>
      </c>
      <c r="T152" s="3">
        <f>IF(Q152="","",MIN(R152/Q152,1))</f>
        <v/>
      </c>
      <c r="U152" t="inlineStr">
        <is>
          <t>Chip; Dale; Donald Duck; Figaro; Pascal; Thumper</t>
        </is>
      </c>
      <c r="V152" t="inlineStr"/>
      <c r="W152" t="inlineStr">
        <is>
          <t>evidenced</t>
        </is>
      </c>
      <c r="X152" t="inlineStr">
        <is>
          <t>Low</t>
        </is>
      </c>
      <c r="Y152" t="inlineStr">
        <is>
          <t>https://disneymouseketeer.com/disneyland-paris-august-2026-pins-preview-sheet-schedule/</t>
        </is>
      </c>
      <c r="Z152" t="inlineStr">
        <is>
          <t>secondary</t>
        </is>
      </c>
      <c r="AA152" t="inlineStr">
        <is>
          <t>https://pixiedustdlp.com/2026/07/29/pins-disneyland-paris-august-2026/</t>
        </is>
      </c>
      <c r="AB152" t="n">
        <v>4</v>
      </c>
      <c r="AC152" t="inlineStr"/>
      <c r="AD152" t="inlineStr"/>
      <c r="AE152" t="inlineStr"/>
      <c r="AF152" t="inlineStr"/>
      <c r="AG152" t="inlineStr">
        <is>
          <t>dlp/2026/fruits-collection</t>
        </is>
      </c>
    </row>
    <row r="153">
      <c r="A153" t="inlineStr">
        <is>
          <t>PHS-0152</t>
        </is>
      </c>
      <c r="B153" t="inlineStr">
        <is>
          <t>Waves series - Goofy and Max</t>
        </is>
      </c>
      <c r="C153" t="inlineStr">
        <is>
          <t>Disneyland Paris</t>
        </is>
      </c>
      <c r="D153" t="inlineStr"/>
      <c r="E153" t="inlineStr">
        <is>
          <t>2026-08-08</t>
        </is>
      </c>
      <c r="F153" t="n">
        <v>2026</v>
      </c>
      <c r="G153" t="inlineStr"/>
      <c r="H153" t="inlineStr"/>
      <c r="I153" t="inlineStr"/>
      <c r="J153" t="inlineStr"/>
      <c r="K153" t="inlineStr"/>
      <c r="L153" t="inlineStr">
        <is>
          <t>limited edition</t>
        </is>
      </c>
      <c r="M153" t="n">
        <v>800</v>
      </c>
      <c r="N153" t="inlineStr"/>
      <c r="O153" t="inlineStr"/>
      <c r="P153" t="inlineStr"/>
      <c r="Q153" t="inlineStr"/>
      <c r="R153" t="n">
        <v>1</v>
      </c>
      <c r="S153">
        <f>IF(Q153="","",MAX(Q153-R153,0))</f>
        <v/>
      </c>
      <c r="T153" s="3">
        <f>IF(Q153="","",MIN(R153/Q153,1))</f>
        <v/>
      </c>
      <c r="U153" t="inlineStr">
        <is>
          <t>Goofy; Max</t>
        </is>
      </c>
      <c r="V153" t="inlineStr"/>
      <c r="W153" t="inlineStr">
        <is>
          <t>evidenced</t>
        </is>
      </c>
      <c r="X153" t="inlineStr">
        <is>
          <t>Low</t>
        </is>
      </c>
      <c r="Y153" t="inlineStr">
        <is>
          <t>https://disneymouseketeer.com/disneyland-paris-august-2026-pins-preview-sheet-schedule/</t>
        </is>
      </c>
      <c r="Z153" t="inlineStr">
        <is>
          <t>secondary</t>
        </is>
      </c>
      <c r="AA153" t="inlineStr">
        <is>
          <t>https://pixiedustdlp.com/2026/07/29/pins-disneyland-paris-august-2026/</t>
        </is>
      </c>
      <c r="AB153" t="n">
        <v>4</v>
      </c>
      <c r="AC153" t="inlineStr"/>
      <c r="AD153" t="inlineStr"/>
      <c r="AE153" t="inlineStr"/>
      <c r="AF153" t="inlineStr"/>
      <c r="AG153" t="inlineStr">
        <is>
          <t>dlp/2026/waves-series-goofy-max</t>
        </is>
      </c>
    </row>
    <row r="154">
      <c r="A154" t="inlineStr">
        <is>
          <t>PHS-0153</t>
        </is>
      </c>
      <c r="B154" t="inlineStr">
        <is>
          <t>Polaroid style collection</t>
        </is>
      </c>
      <c r="C154" t="inlineStr">
        <is>
          <t>Disneyland Paris</t>
        </is>
      </c>
      <c r="D154" t="inlineStr"/>
      <c r="E154" t="inlineStr">
        <is>
          <t>2026-08-15</t>
        </is>
      </c>
      <c r="F154" t="n">
        <v>2026</v>
      </c>
      <c r="G154" t="inlineStr"/>
      <c r="H154" t="inlineStr"/>
      <c r="I154" t="inlineStr">
        <is>
          <t>Polaroid photo style</t>
        </is>
      </c>
      <c r="J154" t="inlineStr"/>
      <c r="K154" t="inlineStr"/>
      <c r="L154" t="inlineStr">
        <is>
          <t>open edition</t>
        </is>
      </c>
      <c r="M154" t="inlineStr"/>
      <c r="N154" t="inlineStr"/>
      <c r="O154" t="inlineStr"/>
      <c r="P154" t="inlineStr"/>
      <c r="Q154" t="inlineStr"/>
      <c r="R154" t="n">
        <v>5</v>
      </c>
      <c r="S154">
        <f>IF(Q154="","",MAX(Q154-R154,0))</f>
        <v/>
      </c>
      <c r="T154" s="3">
        <f>IF(Q154="","",MIN(R154/Q154,1))</f>
        <v/>
      </c>
      <c r="U154" t="inlineStr">
        <is>
          <t>The Aristocats; Cinderella mice; Frozen characters; Seven Dwarfs; Winnie the Pooh &amp; Friends</t>
        </is>
      </c>
      <c r="V154" t="inlineStr"/>
      <c r="W154" t="inlineStr">
        <is>
          <t>evidenced</t>
        </is>
      </c>
      <c r="X154" t="inlineStr">
        <is>
          <t>Low</t>
        </is>
      </c>
      <c r="Y154" t="inlineStr">
        <is>
          <t>https://disneymouseketeer.com/disneyland-paris-august-2026-pins-preview-sheet-schedule/</t>
        </is>
      </c>
      <c r="Z154" t="inlineStr">
        <is>
          <t>secondary</t>
        </is>
      </c>
      <c r="AA154" t="inlineStr">
        <is>
          <t>https://pixiedustdlp.com/2026/07/29/pins-disneyland-paris-august-2026/</t>
        </is>
      </c>
      <c r="AB154" t="n">
        <v>4</v>
      </c>
      <c r="AC154" t="inlineStr"/>
      <c r="AD154" t="inlineStr"/>
      <c r="AE154" t="inlineStr"/>
      <c r="AF154" t="inlineStr"/>
      <c r="AG154" t="inlineStr">
        <is>
          <t>dlp/2026/polaroid-style-collection</t>
        </is>
      </c>
    </row>
    <row r="155">
      <c r="A155" t="inlineStr">
        <is>
          <t>PHS-0154</t>
        </is>
      </c>
      <c r="B155" t="inlineStr">
        <is>
          <t>Princess Studio series - Moana</t>
        </is>
      </c>
      <c r="C155" t="inlineStr">
        <is>
          <t>Disneyland Paris</t>
        </is>
      </c>
      <c r="D155" t="inlineStr"/>
      <c r="E155" t="inlineStr">
        <is>
          <t>2026-08-15</t>
        </is>
      </c>
      <c r="F155" t="n">
        <v>2026</v>
      </c>
      <c r="G155" t="inlineStr"/>
      <c r="H155" t="inlineStr"/>
      <c r="I155" t="inlineStr"/>
      <c r="J155" t="inlineStr"/>
      <c r="K155" t="inlineStr"/>
      <c r="L155" t="inlineStr">
        <is>
          <t>limited edition</t>
        </is>
      </c>
      <c r="M155" t="inlineStr"/>
      <c r="N155" t="inlineStr"/>
      <c r="O155" t="inlineStr"/>
      <c r="P155" t="inlineStr"/>
      <c r="Q155" t="inlineStr"/>
      <c r="R155" t="n">
        <v>1</v>
      </c>
      <c r="S155">
        <f>IF(Q155="","",MAX(Q155-R155,0))</f>
        <v/>
      </c>
      <c r="T155" s="3">
        <f>IF(Q155="","",MIN(R155/Q155,1))</f>
        <v/>
      </c>
      <c r="U155" t="inlineStr">
        <is>
          <t>Moana</t>
        </is>
      </c>
      <c r="V155" t="inlineStr"/>
      <c r="W155" t="inlineStr">
        <is>
          <t>evidenced</t>
        </is>
      </c>
      <c r="X155" t="inlineStr">
        <is>
          <t>Low</t>
        </is>
      </c>
      <c r="Y155" t="inlineStr">
        <is>
          <t>https://disneymouseketeer.com/disneyland-paris-august-2026-pins-preview-sheet-schedule/</t>
        </is>
      </c>
      <c r="Z155" t="inlineStr">
        <is>
          <t>secondary</t>
        </is>
      </c>
      <c r="AA155" t="inlineStr">
        <is>
          <t>https://pixiedustdlp.com/2026/07/29/pins-disneyland-paris-august-2026/</t>
        </is>
      </c>
      <c r="AB155" t="n">
        <v>4</v>
      </c>
      <c r="AC155" t="inlineStr"/>
      <c r="AD155" t="inlineStr"/>
      <c r="AE155" t="inlineStr"/>
      <c r="AF155" t="inlineStr"/>
      <c r="AG155" t="inlineStr">
        <is>
          <t>dlp/2026/princess-studio-moana</t>
        </is>
      </c>
    </row>
    <row r="156">
      <c r="A156" t="inlineStr">
        <is>
          <t>PHS-0155</t>
        </is>
      </c>
      <c r="B156" t="inlineStr">
        <is>
          <t>Bags collection</t>
        </is>
      </c>
      <c r="C156" t="inlineStr">
        <is>
          <t>Disneyland Paris</t>
        </is>
      </c>
      <c r="D156" t="inlineStr"/>
      <c r="E156" t="inlineStr">
        <is>
          <t>2026-08-22</t>
        </is>
      </c>
      <c r="F156" t="n">
        <v>2026</v>
      </c>
      <c r="G156" t="inlineStr"/>
      <c r="H156" t="inlineStr"/>
      <c r="I156" t="inlineStr">
        <is>
          <t>tea bag theme</t>
        </is>
      </c>
      <c r="J156" t="inlineStr"/>
      <c r="K156" t="inlineStr"/>
      <c r="L156" t="inlineStr">
        <is>
          <t>open edition</t>
        </is>
      </c>
      <c r="M156" t="inlineStr"/>
      <c r="N156" t="inlineStr"/>
      <c r="O156" t="inlineStr"/>
      <c r="P156" t="inlineStr"/>
      <c r="Q156" t="n">
        <v>5</v>
      </c>
      <c r="R156" t="n">
        <v>5</v>
      </c>
      <c r="S156">
        <f>IF(Q156="","",MAX(Q156-R156,0))</f>
        <v/>
      </c>
      <c r="T156" s="3">
        <f>IF(Q156="","",MIN(R156/Q156,1))</f>
        <v/>
      </c>
      <c r="U156" t="inlineStr">
        <is>
          <t>Chip; Dale; Lotso; Marie; Olaf; Winnie the Pooh</t>
        </is>
      </c>
      <c r="V156" t="inlineStr"/>
      <c r="W156" t="inlineStr">
        <is>
          <t>evidenced</t>
        </is>
      </c>
      <c r="X156" t="inlineStr">
        <is>
          <t>Low</t>
        </is>
      </c>
      <c r="Y156" t="inlineStr">
        <is>
          <t>https://disneymouseketeer.com/disneyland-paris-august-2026-pins-preview-sheet-schedule/</t>
        </is>
      </c>
      <c r="Z156" t="inlineStr">
        <is>
          <t>secondary</t>
        </is>
      </c>
      <c r="AA156" t="inlineStr">
        <is>
          <t>https://disneypinsblog.com/disneyland-paris-august-2026-pin-releases/</t>
        </is>
      </c>
      <c r="AB156" t="n">
        <v>5</v>
      </c>
      <c r="AC156" t="inlineStr"/>
      <c r="AD156" t="inlineStr"/>
      <c r="AE156" t="inlineStr"/>
      <c r="AF156" t="inlineStr"/>
      <c r="AG156" t="inlineStr">
        <is>
          <t>dlp/2026/bags-collection</t>
        </is>
      </c>
    </row>
    <row r="157">
      <c r="A157" t="inlineStr">
        <is>
          <t>PHS-0156</t>
        </is>
      </c>
      <c r="B157" t="inlineStr">
        <is>
          <t>Minnie, Mickey and Steamboat Willie pins</t>
        </is>
      </c>
      <c r="C157" t="inlineStr">
        <is>
          <t>Disneyland Paris</t>
        </is>
      </c>
      <c r="D157" t="inlineStr"/>
      <c r="E157" t="inlineStr">
        <is>
          <t>2026-09</t>
        </is>
      </c>
      <c r="F157" t="n">
        <v>2026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3</v>
      </c>
      <c r="S157">
        <f>IF(Q157="","",MAX(Q157-R157,0))</f>
        <v/>
      </c>
      <c r="T157" s="3">
        <f>IF(Q157="","",MIN(R157/Q157,1))</f>
        <v/>
      </c>
      <c r="U157" t="inlineStr">
        <is>
          <t>Mickey Mouse; Minnie Mouse; Steamboat Willie</t>
        </is>
      </c>
      <c r="V157" t="inlineStr"/>
      <c r="W157" t="inlineStr">
        <is>
          <t>evidenced</t>
        </is>
      </c>
      <c r="X157" t="inlineStr">
        <is>
          <t>Low</t>
        </is>
      </c>
      <c r="Y157" t="inlineStr">
        <is>
          <t>https://disneypinsblog.com/disneyland-paris-september-2026-pin-releases/</t>
        </is>
      </c>
      <c r="Z157" t="inlineStr">
        <is>
          <t>secondary</t>
        </is>
      </c>
      <c r="AA157" t="inlineStr"/>
      <c r="AB157" t="n">
        <v>1</v>
      </c>
      <c r="AC157" t="inlineStr"/>
      <c r="AD157" t="inlineStr"/>
      <c r="AE157" t="inlineStr"/>
      <c r="AF157" t="inlineStr"/>
      <c r="AG157" t="inlineStr">
        <is>
          <t>dlp/2026/mickey-minnie-steamboat-open-edition-september</t>
        </is>
      </c>
    </row>
    <row r="158">
      <c r="A158" t="inlineStr">
        <is>
          <t>PHS-0157</t>
        </is>
      </c>
      <c r="B158" t="inlineStr">
        <is>
          <t>Backpack pins (back to school)</t>
        </is>
      </c>
      <c r="C158" t="inlineStr">
        <is>
          <t>Disneyland Paris</t>
        </is>
      </c>
      <c r="D158" t="inlineStr"/>
      <c r="E158" t="inlineStr">
        <is>
          <t>2026-09-05</t>
        </is>
      </c>
      <c r="F158" t="n">
        <v>2026</v>
      </c>
      <c r="G158" t="inlineStr"/>
      <c r="H158" t="inlineStr"/>
      <c r="I158" t="inlineStr">
        <is>
          <t>backpack-shaped</t>
        </is>
      </c>
      <c r="J158" t="inlineStr"/>
      <c r="K158" t="inlineStr"/>
      <c r="L158" t="inlineStr">
        <is>
          <t>limited edition</t>
        </is>
      </c>
      <c r="M158" t="inlineStr"/>
      <c r="N158" t="inlineStr"/>
      <c r="O158" t="inlineStr"/>
      <c r="P158" t="inlineStr"/>
      <c r="Q158" t="n">
        <v>4</v>
      </c>
      <c r="R158" t="n">
        <v>4</v>
      </c>
      <c r="S158">
        <f>IF(Q158="","",MAX(Q158-R158,0))</f>
        <v/>
      </c>
      <c r="T158" s="3">
        <f>IF(Q158="","",MIN(R158/Q158,1))</f>
        <v/>
      </c>
      <c r="U158" t="inlineStr">
        <is>
          <t>Marie; Panda Mei; Stitch; Winnie the Pooh</t>
        </is>
      </c>
      <c r="V158" t="inlineStr"/>
      <c r="W158" t="inlineStr">
        <is>
          <t>evidenced</t>
        </is>
      </c>
      <c r="X158" t="inlineStr">
        <is>
          <t>Low</t>
        </is>
      </c>
      <c r="Y158" t="inlineStr">
        <is>
          <t>https://pixiedustdlp.com/2026/09/01/pin-trading-disneyland-paris-sept-2026/</t>
        </is>
      </c>
      <c r="Z158" t="inlineStr">
        <is>
          <t>secondary</t>
        </is>
      </c>
      <c r="AA158" t="inlineStr">
        <is>
          <t>https://www.mousesteps.com/2026/09/01/disneyland-paris-september-2026-pins-revealed/</t>
        </is>
      </c>
      <c r="AB158" t="n">
        <v>2</v>
      </c>
      <c r="AC158" t="inlineStr"/>
      <c r="AD158" t="inlineStr"/>
      <c r="AE158" t="inlineStr"/>
      <c r="AF158" t="inlineStr"/>
      <c r="AG158" t="inlineStr">
        <is>
          <t>dlp/2026/backpack-open-edition-september</t>
        </is>
      </c>
    </row>
    <row r="159">
      <c r="A159" t="inlineStr">
        <is>
          <t>PHS-0158</t>
        </is>
      </c>
      <c r="B159" t="inlineStr">
        <is>
          <t>Princess Studio series - Jasmine</t>
        </is>
      </c>
      <c r="C159" t="inlineStr">
        <is>
          <t>Disneyland Paris</t>
        </is>
      </c>
      <c r="D159" t="inlineStr"/>
      <c r="E159" t="inlineStr">
        <is>
          <t>2026-09-05</t>
        </is>
      </c>
      <c r="F159" t="n">
        <v>2026</v>
      </c>
      <c r="G159" t="inlineStr"/>
      <c r="H159" t="inlineStr"/>
      <c r="I159" t="inlineStr"/>
      <c r="J159" t="inlineStr"/>
      <c r="K159" t="inlineStr"/>
      <c r="L159" t="inlineStr">
        <is>
          <t>limited edition</t>
        </is>
      </c>
      <c r="M159" t="inlineStr"/>
      <c r="N159" t="inlineStr"/>
      <c r="O159" t="inlineStr"/>
      <c r="P159" t="inlineStr"/>
      <c r="Q159" t="inlineStr"/>
      <c r="R159" t="n">
        <v>1</v>
      </c>
      <c r="S159">
        <f>IF(Q159="","",MAX(Q159-R159,0))</f>
        <v/>
      </c>
      <c r="T159" s="3">
        <f>IF(Q159="","",MIN(R159/Q159,1))</f>
        <v/>
      </c>
      <c r="U159" t="inlineStr">
        <is>
          <t>Jasmine</t>
        </is>
      </c>
      <c r="V159" t="inlineStr"/>
      <c r="W159" t="inlineStr">
        <is>
          <t>evidenced (held)</t>
        </is>
      </c>
      <c r="X159" t="inlineStr">
        <is>
          <t>Low</t>
        </is>
      </c>
      <c r="Y159" t="inlineStr">
        <is>
          <t>https://pixiedustdlp.com/2026/09/01/pin-trading-disneyland-paris-sept-2026/</t>
        </is>
      </c>
      <c r="Z159" t="inlineStr">
        <is>
          <t>secondary</t>
        </is>
      </c>
      <c r="AA159" t="inlineStr">
        <is>
          <t>https://www.mousesteps.com/2026/09/01/disneyland-paris-september-2026-pins-revealed/</t>
        </is>
      </c>
      <c r="AB159" t="n">
        <v>2</v>
      </c>
      <c r="AC159" t="inlineStr"/>
      <c r="AD159" t="inlineStr"/>
      <c r="AE159" t="inlineStr"/>
      <c r="AF159" t="inlineStr"/>
      <c r="AG159" t="inlineStr">
        <is>
          <t>dlp/2026/princess-studio-jasmine</t>
        </is>
      </c>
    </row>
    <row r="160">
      <c r="A160" t="inlineStr">
        <is>
          <t>PHS-0159</t>
        </is>
      </c>
      <c r="B160" t="inlineStr">
        <is>
          <t>Disney Tales of Magic - Mulan</t>
        </is>
      </c>
      <c r="C160" t="inlineStr">
        <is>
          <t>Disneyland Paris</t>
        </is>
      </c>
      <c r="D160" t="inlineStr"/>
      <c r="E160" t="inlineStr">
        <is>
          <t>2026-09-05</t>
        </is>
      </c>
      <c r="F160" t="n">
        <v>2026</v>
      </c>
      <c r="G160" t="inlineStr"/>
      <c r="H160" t="inlineStr"/>
      <c r="I160" t="inlineStr">
        <is>
          <t>castle section (series forms castle)</t>
        </is>
      </c>
      <c r="J160" t="inlineStr"/>
      <c r="K160" t="inlineStr"/>
      <c r="L160" t="inlineStr">
        <is>
          <t>limited edition</t>
        </is>
      </c>
      <c r="M160" t="inlineStr"/>
      <c r="N160" t="inlineStr"/>
      <c r="O160" t="inlineStr"/>
      <c r="P160" t="inlineStr"/>
      <c r="Q160" t="inlineStr"/>
      <c r="R160" t="n">
        <v>1</v>
      </c>
      <c r="S160">
        <f>IF(Q160="","",MAX(Q160-R160,0))</f>
        <v/>
      </c>
      <c r="T160" s="3">
        <f>IF(Q160="","",MIN(R160/Q160,1))</f>
        <v/>
      </c>
      <c r="U160" t="inlineStr">
        <is>
          <t>Tales of Magic Mulan</t>
        </is>
      </c>
      <c r="V160" t="inlineStr"/>
      <c r="W160" t="inlineStr">
        <is>
          <t>evidenced</t>
        </is>
      </c>
      <c r="X160" t="inlineStr">
        <is>
          <t>Low</t>
        </is>
      </c>
      <c r="Y160" t="inlineStr">
        <is>
          <t>https://pixiedustdlp.com/2026/09/01/pin-trading-disneyland-paris-sept-2026/</t>
        </is>
      </c>
      <c r="Z160" t="inlineStr">
        <is>
          <t>secondary</t>
        </is>
      </c>
      <c r="AA160" t="inlineStr">
        <is>
          <t>https://www.mousesteps.com/2026/09/01/disneyland-paris-september-2026-pins-revealed/</t>
        </is>
      </c>
      <c r="AB160" t="n">
        <v>2</v>
      </c>
      <c r="AC160" t="inlineStr"/>
      <c r="AD160" t="inlineStr"/>
      <c r="AE160" t="inlineStr"/>
      <c r="AF160" t="inlineStr"/>
      <c r="AG160" t="inlineStr">
        <is>
          <t>dlp/2026/tales-of-magic-mulan</t>
        </is>
      </c>
    </row>
    <row r="161">
      <c r="A161" t="inlineStr">
        <is>
          <t>PHS-0160</t>
        </is>
      </c>
      <c r="B161" t="inlineStr">
        <is>
          <t>Gameboy-inspired collection</t>
        </is>
      </c>
      <c r="C161" t="inlineStr">
        <is>
          <t>Disneyland Paris</t>
        </is>
      </c>
      <c r="D161" t="inlineStr"/>
      <c r="E161" t="inlineStr">
        <is>
          <t>2026-09-12</t>
        </is>
      </c>
      <c r="F161" t="n">
        <v>2026</v>
      </c>
      <c r="G161" t="inlineStr"/>
      <c r="H161" t="inlineStr"/>
      <c r="I161" t="inlineStr">
        <is>
          <t>Game Boy-style handheld console design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4</v>
      </c>
      <c r="R161" t="n">
        <v>4</v>
      </c>
      <c r="S161">
        <f>IF(Q161="","",MAX(Q161-R161,0))</f>
        <v/>
      </c>
      <c r="T161" s="3">
        <f>IF(Q161="","",MIN(R161/Q161,1))</f>
        <v/>
      </c>
      <c r="U161" t="inlineStr">
        <is>
          <t>Baymax; Olaf; Simba; Stitch</t>
        </is>
      </c>
      <c r="V161" t="inlineStr"/>
      <c r="W161" t="inlineStr">
        <is>
          <t>evidenced</t>
        </is>
      </c>
      <c r="X161" t="inlineStr">
        <is>
          <t>Low</t>
        </is>
      </c>
      <c r="Y161" t="inlineStr">
        <is>
          <t>https://pixiedustdlp.com/2026/09/01/pin-trading-disneyland-paris-sept-2026/</t>
        </is>
      </c>
      <c r="Z161" t="inlineStr">
        <is>
          <t>secondary</t>
        </is>
      </c>
      <c r="AA161" t="inlineStr">
        <is>
          <t>https://www.mousesteps.com/2026/09/01/disneyland-paris-september-2026-pins-revealed/</t>
        </is>
      </c>
      <c r="AB161" t="n">
        <v>3</v>
      </c>
      <c r="AC161" t="inlineStr"/>
      <c r="AD161" t="inlineStr"/>
      <c r="AE161" t="inlineStr"/>
      <c r="AF161" t="inlineStr"/>
      <c r="AG161" t="inlineStr">
        <is>
          <t>dlp/2026/gameboy-inspired-collection</t>
        </is>
      </c>
    </row>
    <row r="162">
      <c r="A162" t="inlineStr">
        <is>
          <t>PHS-0161</t>
        </is>
      </c>
      <c r="B162" t="inlineStr">
        <is>
          <t>Pin Trading Night - Enchanted</t>
        </is>
      </c>
      <c r="C162" t="inlineStr">
        <is>
          <t>Disneyland Paris</t>
        </is>
      </c>
      <c r="D162" t="inlineStr"/>
      <c r="E162" t="inlineStr">
        <is>
          <t>2026-09-19</t>
        </is>
      </c>
      <c r="F162" t="n">
        <v>2026</v>
      </c>
      <c r="G162" t="inlineStr"/>
      <c r="H162" t="inlineStr"/>
      <c r="I162" t="inlineStr">
        <is>
          <t>pin trading event collection | Lineberty ticketed event</t>
        </is>
      </c>
      <c r="J162" t="inlineStr"/>
      <c r="K162" t="inlineStr"/>
      <c r="L162" t="inlineStr">
        <is>
          <t>limited edition</t>
        </is>
      </c>
      <c r="M162" t="inlineStr"/>
      <c r="N162" t="n">
        <v>25</v>
      </c>
      <c r="O162" t="inlineStr">
        <is>
          <t>EUR</t>
        </is>
      </c>
      <c r="P162" t="inlineStr"/>
      <c r="Q162" t="n">
        <v>12</v>
      </c>
      <c r="R162" t="n">
        <v>4</v>
      </c>
      <c r="S162">
        <f>IF(Q162="","",MAX(Q162-R162,0))</f>
        <v/>
      </c>
      <c r="T162" s="3">
        <f>IF(Q162="","",MIN(R162/Q162,1))</f>
        <v/>
      </c>
      <c r="U162" t="inlineStr">
        <is>
          <t>Ariel; Beast; Rapunzel</t>
        </is>
      </c>
      <c r="V162" t="inlineStr"/>
      <c r="W162" t="inlineStr">
        <is>
          <t>evidenced</t>
        </is>
      </c>
      <c r="X162" t="inlineStr">
        <is>
          <t>Low</t>
        </is>
      </c>
      <c r="Y162" t="inlineStr">
        <is>
          <t>https://disneybymark.com/2026/09/pin-trading-nights-return-to-disneyland-paris-with-an-enchanted-theme-later-this-month/</t>
        </is>
      </c>
      <c r="Z162" t="inlineStr">
        <is>
          <t>secondary</t>
        </is>
      </c>
      <c r="AA162" t="inlineStr">
        <is>
          <t>https://pixiedustdlp.com/2026/09/01/pin-trading-disneyland-paris-sept-2026/</t>
        </is>
      </c>
      <c r="AB162" t="n">
        <v>5</v>
      </c>
      <c r="AC162" t="inlineStr"/>
      <c r="AD162" t="inlineStr"/>
      <c r="AE162" t="inlineStr"/>
      <c r="AF162" t="inlineStr"/>
      <c r="AG162" t="inlineStr">
        <is>
          <t>dlp/2026/pin-trading-night-enchanted</t>
        </is>
      </c>
    </row>
    <row r="163">
      <c r="A163" t="inlineStr">
        <is>
          <t>PHS-0162</t>
        </is>
      </c>
      <c r="B163" t="inlineStr">
        <is>
          <t>Halloween (September releases)</t>
        </is>
      </c>
      <c r="C163" t="inlineStr">
        <is>
          <t>Disneyland Paris</t>
        </is>
      </c>
      <c r="D163" t="inlineStr"/>
      <c r="E163" t="inlineStr">
        <is>
          <t>2026-09-26</t>
        </is>
      </c>
      <c r="F163" t="n">
        <v>2026</v>
      </c>
      <c r="G163" t="inlineStr"/>
      <c r="H163" t="inlineStr"/>
      <c r="I163" t="inlineStr"/>
      <c r="J163" t="inlineStr"/>
      <c r="K163" t="inlineStr"/>
      <c r="L163" t="inlineStr">
        <is>
          <t>open edition</t>
        </is>
      </c>
      <c r="M163" t="inlineStr"/>
      <c r="N163" t="inlineStr"/>
      <c r="O163" t="inlineStr"/>
      <c r="P163" t="inlineStr"/>
      <c r="Q163" t="inlineStr"/>
      <c r="R163" t="n">
        <v>4</v>
      </c>
      <c r="S163">
        <f>IF(Q163="","",MAX(Q163-R163,0))</f>
        <v/>
      </c>
      <c r="T163" s="3">
        <f>IF(Q163="","",MIN(R163/Q163,1))</f>
        <v/>
      </c>
      <c r="U163" t="inlineStr">
        <is>
          <t>Cheshire Cat; Figaro; Lucifer; Marie</t>
        </is>
      </c>
      <c r="V163" t="inlineStr"/>
      <c r="W163" t="inlineStr">
        <is>
          <t>evidenced</t>
        </is>
      </c>
      <c r="X163" t="inlineStr">
        <is>
          <t>Low</t>
        </is>
      </c>
      <c r="Y163" t="inlineStr">
        <is>
          <t>https://pixiedustdlp.com/2026/09/01/pin-trading-disneyland-paris-sept-2026/</t>
        </is>
      </c>
      <c r="Z163" t="inlineStr">
        <is>
          <t>secondary</t>
        </is>
      </c>
      <c r="AA163" t="inlineStr">
        <is>
          <t>https://www.mousesteps.com/2026/09/01/disneyland-paris-september-2026-pins-revealed/</t>
        </is>
      </c>
      <c r="AB163" t="n">
        <v>3</v>
      </c>
      <c r="AC163" t="inlineStr"/>
      <c r="AD163" t="inlineStr"/>
      <c r="AE163" t="inlineStr"/>
      <c r="AF163" t="inlineStr"/>
      <c r="AG163" t="inlineStr">
        <is>
          <t>dlp/2026/halloween-2026-september</t>
        </is>
      </c>
    </row>
    <row r="164">
      <c r="A164" t="inlineStr">
        <is>
          <t>PHS-0163</t>
        </is>
      </c>
      <c r="B164" t="inlineStr">
        <is>
          <t>Kuzco limited edition</t>
        </is>
      </c>
      <c r="C164" t="inlineStr">
        <is>
          <t>Disneyland Paris</t>
        </is>
      </c>
      <c r="D164" t="inlineStr"/>
      <c r="E164" t="inlineStr">
        <is>
          <t>2026-09-26</t>
        </is>
      </c>
      <c r="F164" t="n">
        <v>2026</v>
      </c>
      <c r="G164" t="inlineStr"/>
      <c r="H164" t="inlineStr"/>
      <c r="I164" t="inlineStr"/>
      <c r="J164" t="inlineStr"/>
      <c r="K164" t="inlineStr"/>
      <c r="L164" t="inlineStr">
        <is>
          <t>limited edition</t>
        </is>
      </c>
      <c r="M164" t="inlineStr"/>
      <c r="N164" t="inlineStr"/>
      <c r="O164" t="inlineStr"/>
      <c r="P164" t="inlineStr"/>
      <c r="Q164" t="inlineStr"/>
      <c r="R164" t="n">
        <v>1</v>
      </c>
      <c r="S164">
        <f>IF(Q164="","",MAX(Q164-R164,0))</f>
        <v/>
      </c>
      <c r="T164" s="3">
        <f>IF(Q164="","",MIN(R164/Q164,1))</f>
        <v/>
      </c>
      <c r="U164" t="inlineStr">
        <is>
          <t>Kuzco</t>
        </is>
      </c>
      <c r="V164" t="inlineStr"/>
      <c r="W164" t="inlineStr">
        <is>
          <t>evidenced</t>
        </is>
      </c>
      <c r="X164" t="inlineStr">
        <is>
          <t>Low</t>
        </is>
      </c>
      <c r="Y164" t="inlineStr">
        <is>
          <t>https://pixiedustdlp.com/2026/09/01/pin-trading-disneyland-paris-sept-2026/</t>
        </is>
      </c>
      <c r="Z164" t="inlineStr">
        <is>
          <t>secondary</t>
        </is>
      </c>
      <c r="AA164" t="inlineStr">
        <is>
          <t>https://www.mousesteps.com/2026/09/01/disneyland-paris-september-2026-pins-revealed/</t>
        </is>
      </c>
      <c r="AB164" t="n">
        <v>2</v>
      </c>
      <c r="AC164" t="inlineStr"/>
      <c r="AD164" t="inlineStr"/>
      <c r="AE164" t="inlineStr"/>
      <c r="AF164" t="inlineStr"/>
      <c r="AG164" t="inlineStr">
        <is>
          <t>dlp/2026/kuzco-le-september</t>
        </is>
      </c>
    </row>
    <row r="165">
      <c r="A165" t="inlineStr">
        <is>
          <t>PHS-0164</t>
        </is>
      </c>
      <c r="B165" t="inlineStr">
        <is>
          <t>Dumbo 85th anniversary</t>
        </is>
      </c>
      <c r="C165" t="inlineStr">
        <is>
          <t>Disneyland Paris</t>
        </is>
      </c>
      <c r="D165" t="inlineStr"/>
      <c r="E165" t="inlineStr">
        <is>
          <t>2026-10</t>
        </is>
      </c>
      <c r="F165" t="n">
        <v>2026</v>
      </c>
      <c r="G165" t="inlineStr"/>
      <c r="H165" t="inlineStr"/>
      <c r="I165" t="inlineStr"/>
      <c r="J165" t="inlineStr"/>
      <c r="K165" t="inlineStr"/>
      <c r="L165" t="inlineStr">
        <is>
          <t>limited edition</t>
        </is>
      </c>
      <c r="M165" t="inlineStr"/>
      <c r="N165" t="inlineStr"/>
      <c r="O165" t="inlineStr"/>
      <c r="P165" t="inlineStr"/>
      <c r="Q165" t="inlineStr"/>
      <c r="R165" t="n">
        <v>1</v>
      </c>
      <c r="S165">
        <f>IF(Q165="","",MAX(Q165-R165,0))</f>
        <v/>
      </c>
      <c r="T165" s="3">
        <f>IF(Q165="","",MIN(R165/Q165,1))</f>
        <v/>
      </c>
      <c r="U165" t="inlineStr">
        <is>
          <t>Dumbo</t>
        </is>
      </c>
      <c r="V165" t="inlineStr"/>
      <c r="W165" t="inlineStr">
        <is>
          <t>evidenced</t>
        </is>
      </c>
      <c r="X165" t="inlineStr">
        <is>
          <t>Low</t>
        </is>
      </c>
      <c r="Y165" t="inlineStr">
        <is>
          <t>https://pixiedustdlp.com/2026/09/30/pin-trading-disneyland-paris-oct-2026/</t>
        </is>
      </c>
      <c r="Z165" t="inlineStr">
        <is>
          <t>secondary</t>
        </is>
      </c>
      <c r="AA165" t="inlineStr"/>
      <c r="AB165" t="n">
        <v>1</v>
      </c>
      <c r="AC165" t="inlineStr"/>
      <c r="AD165" t="inlineStr"/>
      <c r="AE165" t="inlineStr"/>
      <c r="AF165" t="inlineStr"/>
      <c r="AG165" t="inlineStr">
        <is>
          <t>dlp/2026/dumbo-85th-anniversary</t>
        </is>
      </c>
    </row>
    <row r="166">
      <c r="A166" t="inlineStr">
        <is>
          <t>PHS-0165</t>
        </is>
      </c>
      <c r="B166" t="inlineStr">
        <is>
          <t>Halloween 2026</t>
        </is>
      </c>
      <c r="C166" t="inlineStr">
        <is>
          <t>Disneyland Paris</t>
        </is>
      </c>
      <c r="D166" t="inlineStr"/>
      <c r="E166" t="inlineStr">
        <is>
          <t>2026-10</t>
        </is>
      </c>
      <c r="F166" t="n">
        <v>2026</v>
      </c>
      <c r="G166" t="inlineStr"/>
      <c r="H166" t="inlineStr"/>
      <c r="I166" t="inlineStr"/>
      <c r="J166" t="inlineStr"/>
      <c r="K166" t="inlineStr"/>
      <c r="L166" t="inlineStr">
        <is>
          <t>limited edition</t>
        </is>
      </c>
      <c r="M166" t="inlineStr"/>
      <c r="N166" t="inlineStr"/>
      <c r="O166" t="inlineStr"/>
      <c r="P166" t="inlineStr"/>
      <c r="Q166" t="inlineStr"/>
      <c r="R166" t="n">
        <v>1</v>
      </c>
      <c r="S166">
        <f>IF(Q166="","",MAX(Q166-R166,0))</f>
        <v/>
      </c>
      <c r="T166" s="3">
        <f>IF(Q166="","",MIN(R166/Q166,1))</f>
        <v/>
      </c>
      <c r="U166" t="inlineStr">
        <is>
          <t>Mickey Mouse</t>
        </is>
      </c>
      <c r="V166" t="inlineStr"/>
      <c r="W166" t="inlineStr">
        <is>
          <t>evidenced</t>
        </is>
      </c>
      <c r="X166" t="inlineStr">
        <is>
          <t>Low</t>
        </is>
      </c>
      <c r="Y166" t="inlineStr">
        <is>
          <t>https://pixiedustdlp.com/2026/09/30/pin-trading-disneyland-paris-oct-2026/</t>
        </is>
      </c>
      <c r="Z166" t="inlineStr">
        <is>
          <t>secondary</t>
        </is>
      </c>
      <c r="AA166" t="inlineStr"/>
      <c r="AB166" t="n">
        <v>1</v>
      </c>
      <c r="AC166" t="inlineStr"/>
      <c r="AD166" t="inlineStr"/>
      <c r="AE166" t="inlineStr"/>
      <c r="AF166" t="inlineStr"/>
      <c r="AG166" t="inlineStr">
        <is>
          <t>dlp/2026/halloween-2026-mickey</t>
        </is>
      </c>
    </row>
    <row r="167">
      <c r="A167" t="inlineStr">
        <is>
          <t>PHS-0166</t>
        </is>
      </c>
      <c r="B167" t="inlineStr">
        <is>
          <t>Pin Trading 25th anniversary classic Mickey</t>
        </is>
      </c>
      <c r="C167" t="inlineStr">
        <is>
          <t>Disneyland Paris</t>
        </is>
      </c>
      <c r="D167" t="inlineStr"/>
      <c r="E167" t="inlineStr">
        <is>
          <t>2026-10</t>
        </is>
      </c>
      <c r="F167" t="n">
        <v>2026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</v>
      </c>
      <c r="S167">
        <f>IF(Q167="","",MAX(Q167-R167,0))</f>
        <v/>
      </c>
      <c r="T167" s="3">
        <f>IF(Q167="","",MIN(R167/Q167,1))</f>
        <v/>
      </c>
      <c r="U167" t="inlineStr">
        <is>
          <t>Mickey Mouse</t>
        </is>
      </c>
      <c r="V167" t="inlineStr"/>
      <c r="W167" t="inlineStr">
        <is>
          <t>evidenced (held)</t>
        </is>
      </c>
      <c r="X167" t="inlineStr">
        <is>
          <t>Low</t>
        </is>
      </c>
      <c r="Y167" t="inlineStr">
        <is>
          <t>https://pixiedustdlp.com/2026/09/30/pin-trading-disneyland-paris-oct-2026/</t>
        </is>
      </c>
      <c r="Z167" t="inlineStr">
        <is>
          <t>secondary</t>
        </is>
      </c>
      <c r="AA167" t="inlineStr"/>
      <c r="AB167" t="n">
        <v>1</v>
      </c>
      <c r="AC167" t="inlineStr"/>
      <c r="AD167" t="inlineStr"/>
      <c r="AE167" t="inlineStr"/>
      <c r="AF167" t="inlineStr"/>
      <c r="AG167" t="inlineStr">
        <is>
          <t>dlp/2026/pin-trading-25th-anniversary-mickey</t>
        </is>
      </c>
    </row>
    <row r="168">
      <c r="A168" t="inlineStr">
        <is>
          <t>PHS-0167</t>
        </is>
      </c>
      <c r="B168" t="inlineStr">
        <is>
          <t>Princess Studio - Ariel</t>
        </is>
      </c>
      <c r="C168" t="inlineStr">
        <is>
          <t>Disneyland Paris</t>
        </is>
      </c>
      <c r="D168" t="inlineStr"/>
      <c r="E168" t="inlineStr">
        <is>
          <t>2026-10</t>
        </is>
      </c>
      <c r="F168" t="n">
        <v>2026</v>
      </c>
      <c r="G168" t="inlineStr"/>
      <c r="H168" t="inlineStr"/>
      <c r="I168" t="inlineStr"/>
      <c r="J168" t="inlineStr"/>
      <c r="K168" t="inlineStr"/>
      <c r="L168" t="inlineStr">
        <is>
          <t>limited edition</t>
        </is>
      </c>
      <c r="M168" t="inlineStr"/>
      <c r="N168" t="inlineStr"/>
      <c r="O168" t="inlineStr"/>
      <c r="P168" t="inlineStr"/>
      <c r="Q168" t="inlineStr"/>
      <c r="R168" t="n">
        <v>1</v>
      </c>
      <c r="S168">
        <f>IF(Q168="","",MAX(Q168-R168,0))</f>
        <v/>
      </c>
      <c r="T168" s="3">
        <f>IF(Q168="","",MIN(R168/Q168,1))</f>
        <v/>
      </c>
      <c r="U168" t="inlineStr">
        <is>
          <t>Ariel</t>
        </is>
      </c>
      <c r="V168" t="inlineStr"/>
      <c r="W168" t="inlineStr">
        <is>
          <t>evidenced (held)</t>
        </is>
      </c>
      <c r="X168" t="inlineStr">
        <is>
          <t>Low</t>
        </is>
      </c>
      <c r="Y168" t="inlineStr">
        <is>
          <t>https://pixiedustdlp.com/2026/09/30/pin-trading-disneyland-paris-oct-2026/</t>
        </is>
      </c>
      <c r="Z168" t="inlineStr">
        <is>
          <t>secondary</t>
        </is>
      </c>
      <c r="AA168" t="inlineStr"/>
      <c r="AB168" t="n">
        <v>1</v>
      </c>
      <c r="AC168" t="inlineStr"/>
      <c r="AD168" t="inlineStr"/>
      <c r="AE168" t="inlineStr"/>
      <c r="AF168" t="inlineStr"/>
      <c r="AG168" t="inlineStr">
        <is>
          <t>dlp/2026/princess-studio-ariel</t>
        </is>
      </c>
    </row>
    <row r="169">
      <c r="A169" t="inlineStr">
        <is>
          <t>PHS-0168</t>
        </is>
      </c>
      <c r="B169" t="inlineStr">
        <is>
          <t>Snow White LE</t>
        </is>
      </c>
      <c r="C169" t="inlineStr">
        <is>
          <t>Disneyland Paris</t>
        </is>
      </c>
      <c r="D169" t="inlineStr"/>
      <c r="E169" t="inlineStr">
        <is>
          <t>2026-10</t>
        </is>
      </c>
      <c r="F169" t="n">
        <v>2026</v>
      </c>
      <c r="G169" t="inlineStr"/>
      <c r="H169" t="inlineStr"/>
      <c r="I169" t="inlineStr"/>
      <c r="J169" t="inlineStr"/>
      <c r="K169" t="inlineStr"/>
      <c r="L169" t="inlineStr">
        <is>
          <t>limited edition</t>
        </is>
      </c>
      <c r="M169" t="inlineStr"/>
      <c r="N169" t="inlineStr"/>
      <c r="O169" t="inlineStr"/>
      <c r="P169" t="inlineStr"/>
      <c r="Q169" t="inlineStr"/>
      <c r="R169" t="n">
        <v>1</v>
      </c>
      <c r="S169">
        <f>IF(Q169="","",MAX(Q169-R169,0))</f>
        <v/>
      </c>
      <c r="T169" s="3">
        <f>IF(Q169="","",MIN(R169/Q169,1))</f>
        <v/>
      </c>
      <c r="U169" t="inlineStr">
        <is>
          <t>Snow White</t>
        </is>
      </c>
      <c r="V169" t="inlineStr"/>
      <c r="W169" t="inlineStr">
        <is>
          <t>evidenced</t>
        </is>
      </c>
      <c r="X169" t="inlineStr">
        <is>
          <t>Low</t>
        </is>
      </c>
      <c r="Y169" t="inlineStr">
        <is>
          <t>https://pixiedustdlp.com/2026/09/30/pin-trading-disneyland-paris-oct-2026/</t>
        </is>
      </c>
      <c r="Z169" t="inlineStr">
        <is>
          <t>secondary</t>
        </is>
      </c>
      <c r="AA169" t="inlineStr"/>
      <c r="AB169" t="n">
        <v>1</v>
      </c>
      <c r="AC169" t="inlineStr"/>
      <c r="AD169" t="inlineStr"/>
      <c r="AE169" t="inlineStr"/>
      <c r="AF169" t="inlineStr"/>
      <c r="AG169" t="inlineStr">
        <is>
          <t>dlp/2026/snow-white-le-october</t>
        </is>
      </c>
    </row>
    <row r="170">
      <c r="A170" t="inlineStr">
        <is>
          <t>PHS-0169</t>
        </is>
      </c>
      <c r="B170" t="inlineStr">
        <is>
          <t>Disney Villains open edition pins</t>
        </is>
      </c>
      <c r="C170" t="inlineStr">
        <is>
          <t>Disneyland Paris</t>
        </is>
      </c>
      <c r="D170" t="inlineStr"/>
      <c r="E170" t="inlineStr">
        <is>
          <t>2026-10</t>
        </is>
      </c>
      <c r="F170" t="n">
        <v>2026</v>
      </c>
      <c r="G170" t="inlineStr"/>
      <c r="H170" t="inlineStr"/>
      <c r="I170" t="inlineStr"/>
      <c r="J170" t="inlineStr"/>
      <c r="K170" t="inlineStr"/>
      <c r="L170" t="inlineStr">
        <is>
          <t>open edition</t>
        </is>
      </c>
      <c r="M170" t="inlineStr"/>
      <c r="N170" t="inlineStr"/>
      <c r="O170" t="inlineStr"/>
      <c r="P170" t="inlineStr"/>
      <c r="Q170" t="inlineStr"/>
      <c r="R170" t="n">
        <v>4</v>
      </c>
      <c r="S170">
        <f>IF(Q170="","",MAX(Q170-R170,0))</f>
        <v/>
      </c>
      <c r="T170" s="3">
        <f>IF(Q170="","",MIN(R170/Q170,1))</f>
        <v/>
      </c>
      <c r="U170" t="inlineStr">
        <is>
          <t>Evil Queen; Gaston; Scar; Ursula</t>
        </is>
      </c>
      <c r="V170" t="inlineStr"/>
      <c r="W170" t="inlineStr">
        <is>
          <t>evidenced</t>
        </is>
      </c>
      <c r="X170" t="inlineStr">
        <is>
          <t>Low</t>
        </is>
      </c>
      <c r="Y170" t="inlineStr">
        <is>
          <t>https://pixiedustdlp.com/2026/09/30/pin-trading-disneyland-paris-oct-2026/</t>
        </is>
      </c>
      <c r="Z170" t="inlineStr">
        <is>
          <t>secondary</t>
        </is>
      </c>
      <c r="AA170" t="inlineStr"/>
      <c r="AB170" t="n">
        <v>1</v>
      </c>
      <c r="AC170" t="inlineStr"/>
      <c r="AD170" t="inlineStr"/>
      <c r="AE170" t="inlineStr"/>
      <c r="AF170" t="inlineStr"/>
      <c r="AG170" t="inlineStr">
        <is>
          <t>dlp/2026/villains-open-edition-october</t>
        </is>
      </c>
    </row>
    <row r="171">
      <c r="A171" t="inlineStr">
        <is>
          <t>PHS-0170</t>
        </is>
      </c>
      <c r="B171" t="inlineStr">
        <is>
          <t>Hercules LE</t>
        </is>
      </c>
      <c r="C171" t="inlineStr">
        <is>
          <t>Disneyland Paris</t>
        </is>
      </c>
      <c r="D171" t="inlineStr"/>
      <c r="E171" t="inlineStr">
        <is>
          <t>2026-10-31</t>
        </is>
      </c>
      <c r="F171" t="n">
        <v>2026</v>
      </c>
      <c r="G171" t="inlineStr"/>
      <c r="H171" t="inlineStr"/>
      <c r="I171" t="inlineStr"/>
      <c r="J171" t="inlineStr"/>
      <c r="K171" t="inlineStr"/>
      <c r="L171" t="inlineStr">
        <is>
          <t>limited edition</t>
        </is>
      </c>
      <c r="M171" t="inlineStr"/>
      <c r="N171" t="inlineStr"/>
      <c r="O171" t="inlineStr"/>
      <c r="P171" t="inlineStr"/>
      <c r="Q171" t="inlineStr"/>
      <c r="R171" t="n">
        <v>1</v>
      </c>
      <c r="S171">
        <f>IF(Q171="","",MAX(Q171-R171,0))</f>
        <v/>
      </c>
      <c r="T171" s="3">
        <f>IF(Q171="","",MIN(R171/Q171,1))</f>
        <v/>
      </c>
      <c r="U171" t="inlineStr">
        <is>
          <t>Hercules</t>
        </is>
      </c>
      <c r="V171" t="inlineStr"/>
      <c r="W171" t="inlineStr">
        <is>
          <t>evidenced</t>
        </is>
      </c>
      <c r="X171" t="inlineStr">
        <is>
          <t>Low</t>
        </is>
      </c>
      <c r="Y171" t="inlineStr">
        <is>
          <t>https://pixiedustdlp.com/2026/09/30/pin-trading-disneyland-paris-oct-2026/</t>
        </is>
      </c>
      <c r="Z171" t="inlineStr">
        <is>
          <t>secondary</t>
        </is>
      </c>
      <c r="AA171" t="inlineStr"/>
      <c r="AB171" t="n">
        <v>1</v>
      </c>
      <c r="AC171" t="inlineStr"/>
      <c r="AD171" t="inlineStr"/>
      <c r="AE171" t="inlineStr"/>
      <c r="AF171" t="inlineStr"/>
      <c r="AG171" t="inlineStr">
        <is>
          <t>dlp/2026/hercules-le-october</t>
        </is>
      </c>
    </row>
    <row r="172">
      <c r="A172" t="inlineStr">
        <is>
          <t>PHS-0171</t>
        </is>
      </c>
      <c r="B172" t="inlineStr">
        <is>
          <t>Best Buds (2023)</t>
        </is>
      </c>
      <c r="C172" t="inlineStr">
        <is>
          <t>Disneyland Resort</t>
        </is>
      </c>
      <c r="D172" t="inlineStr"/>
      <c r="E172" t="inlineStr"/>
      <c r="G172" t="inlineStr"/>
      <c r="H172" t="inlineStr"/>
      <c r="I172" t="inlineStr">
        <is>
          <t>monthly limited edition pin series</t>
        </is>
      </c>
      <c r="J172" t="inlineStr"/>
      <c r="K172" t="inlineStr"/>
      <c r="L172" t="inlineStr">
        <is>
          <t>limited edition</t>
        </is>
      </c>
      <c r="M172" t="n">
        <v>2500</v>
      </c>
      <c r="N172" t="inlineStr"/>
      <c r="O172" t="inlineStr"/>
      <c r="P172" t="inlineStr"/>
      <c r="Q172" t="n">
        <v>12</v>
      </c>
      <c r="R172" t="n">
        <v>12</v>
      </c>
      <c r="S172">
        <f>IF(Q172="","",MAX(Q172-R172,0))</f>
        <v/>
      </c>
      <c r="T172" s="3">
        <f>IF(Q172="","",MIN(R172/Q172,1))</f>
        <v/>
      </c>
      <c r="U172" t="inlineStr">
        <is>
          <t>Baloo; Mowgli; Dumbo; Mrs. Jumbo; Goofy; Max; Lady; Tramp; Lilo; Stitch; Figaro; Minnie Mouse; Geppetto; Pinocchio; Lucky; Pongo; Pumbaa; Timon; Mike Wazowski; Sulley; Ralph; Vanellope; Piglet; Winnie the Pooh</t>
        </is>
      </c>
      <c r="V172" t="inlineStr"/>
      <c r="W172" t="inlineStr">
        <is>
          <t>evidenced</t>
        </is>
      </c>
      <c r="X172" t="inlineStr">
        <is>
          <t>Low</t>
        </is>
      </c>
      <c r="Y172" t="inlineStr">
        <is>
          <t>https://disneypinsblog.com/blogs/news/new-disney-pins-february-2023-week-1</t>
        </is>
      </c>
      <c r="Z172" t="inlineStr">
        <is>
          <t>secondary</t>
        </is>
      </c>
      <c r="AA172" t="inlineStr">
        <is>
          <t>https://disneypinsblog.com/complete-best-buds-pin-collection/</t>
        </is>
      </c>
      <c r="AB172" t="n">
        <v>3</v>
      </c>
      <c r="AC172" t="inlineStr"/>
      <c r="AD172" t="inlineStr"/>
      <c r="AE172" t="inlineStr"/>
      <c r="AF172" t="inlineStr"/>
      <c r="AG172" t="inlineStr">
        <is>
          <t>dlr/2023/best-buds-2023</t>
        </is>
      </c>
    </row>
    <row r="173">
      <c r="A173" t="inlineStr">
        <is>
          <t>PHS-0172</t>
        </is>
      </c>
      <c r="B173" t="inlineStr">
        <is>
          <t>Disney Eras (Magic Key exclusive, Disney100)</t>
        </is>
      </c>
      <c r="C173" t="inlineStr">
        <is>
          <t>Disneyland Resort</t>
        </is>
      </c>
      <c r="D173" t="inlineStr"/>
      <c r="E173" t="inlineStr"/>
      <c r="G173" t="inlineStr"/>
      <c r="H173" t="inlineStr"/>
      <c r="I173" t="inlineStr"/>
      <c r="J173" t="inlineStr"/>
      <c r="K173" t="inlineStr"/>
      <c r="L173" t="inlineStr">
        <is>
          <t>limited edition</t>
        </is>
      </c>
      <c r="M173" t="n">
        <v>3000</v>
      </c>
      <c r="N173" t="n">
        <v>19.99</v>
      </c>
      <c r="O173" t="inlineStr">
        <is>
          <t>USD</t>
        </is>
      </c>
      <c r="P173" t="inlineStr"/>
      <c r="Q173" t="inlineStr"/>
      <c r="R173" t="n">
        <v>4</v>
      </c>
      <c r="S173">
        <f>IF(Q173="","",MAX(Q173-R173,0))</f>
        <v/>
      </c>
      <c r="T173" s="3">
        <f>IF(Q173="","",MIN(R173/Q173,1))</f>
        <v/>
      </c>
      <c r="U173" t="inlineStr">
        <is>
          <t>Dale; Donald Duck; Mickey Mouse; Pluto</t>
        </is>
      </c>
      <c r="V173" t="inlineStr"/>
      <c r="W173" t="inlineStr">
        <is>
          <t>evidenced</t>
        </is>
      </c>
      <c r="X173" t="inlineStr">
        <is>
          <t>Low</t>
        </is>
      </c>
      <c r="Y173" t="inlineStr">
        <is>
          <t>https://disneypinsblog.com/new-disney-pins-july-2023-week-1/</t>
        </is>
      </c>
      <c r="Z173" t="inlineStr">
        <is>
          <t>secondary</t>
        </is>
      </c>
      <c r="AA173" t="inlineStr">
        <is>
          <t>https://disneypinsblog.com/new-disney-pins-may-2023-week-1/</t>
        </is>
      </c>
      <c r="AB173" t="n">
        <v>3</v>
      </c>
      <c r="AC173" t="inlineStr"/>
      <c r="AD173" t="inlineStr"/>
      <c r="AE173" t="inlineStr"/>
      <c r="AF173" t="inlineStr"/>
      <c r="AG173" t="inlineStr">
        <is>
          <t>dlr/2023/disney-eras-magic-key-2023</t>
        </is>
      </c>
    </row>
    <row r="174">
      <c r="A174" t="inlineStr">
        <is>
          <t>PHS-0173</t>
        </is>
      </c>
      <c r="B174" t="inlineStr">
        <is>
          <t>This is My Home (2024)</t>
        </is>
      </c>
      <c r="C174" t="inlineStr">
        <is>
          <t>Disneyland Resort</t>
        </is>
      </c>
      <c r="D174" t="inlineStr"/>
      <c r="E174" t="inlineStr"/>
      <c r="G174" t="inlineStr"/>
      <c r="H174" t="inlineStr"/>
      <c r="I174" t="inlineStr">
        <is>
          <t>monthly limited edition pin series</t>
        </is>
      </c>
      <c r="J174" t="inlineStr"/>
      <c r="K174" t="inlineStr"/>
      <c r="L174" t="inlineStr">
        <is>
          <t>limited edition</t>
        </is>
      </c>
      <c r="M174" t="n">
        <v>2500</v>
      </c>
      <c r="N174" t="n">
        <v>19.99</v>
      </c>
      <c r="O174" t="inlineStr">
        <is>
          <t>USD</t>
        </is>
      </c>
      <c r="P174" t="inlineStr"/>
      <c r="Q174" t="n">
        <v>12</v>
      </c>
      <c r="R174" t="n">
        <v>12</v>
      </c>
      <c r="S174">
        <f>IF(Q174="","",MAX(Q174-R174,0))</f>
        <v/>
      </c>
      <c r="T174" s="3">
        <f>IF(Q174="","",MIN(R174/Q174,1))</f>
        <v/>
      </c>
      <c r="U174" t="inlineStr">
        <is>
          <t>Alice; Ariel; Aurora; Cinderella; Jasmine; Merida; Moana; Mulan; Pocahontas; Rapunzel; Snow White; Tiana</t>
        </is>
      </c>
      <c r="V174" t="inlineStr"/>
      <c r="W174" t="inlineStr">
        <is>
          <t>evidenced</t>
        </is>
      </c>
      <c r="X174" t="inlineStr">
        <is>
          <t>Low</t>
        </is>
      </c>
      <c r="Y174" t="inlineStr">
        <is>
          <t>https://disneypinforum.com/threads/2024-pin-discussion-pin-releases-speech-balloon.77622/</t>
        </is>
      </c>
      <c r="Z174" t="inlineStr">
        <is>
          <t>secondary</t>
        </is>
      </c>
      <c r="AA174" t="inlineStr">
        <is>
          <t>https://disneypinforum.com/threads/2024-pin-discussion-pin-releases-speech-balloon.77622/page-15</t>
        </is>
      </c>
      <c r="AB174" t="n">
        <v>2</v>
      </c>
      <c r="AC174" t="inlineStr"/>
      <c r="AD174" t="inlineStr"/>
      <c r="AE174" t="inlineStr"/>
      <c r="AF174" t="inlineStr"/>
      <c r="AG174" t="inlineStr">
        <is>
          <t>dlr/2024/this-is-my-home-2024</t>
        </is>
      </c>
    </row>
    <row r="175">
      <c r="A175" t="inlineStr">
        <is>
          <t>PHS-0174</t>
        </is>
      </c>
      <c r="B175" t="inlineStr">
        <is>
          <t>Disneyland 70th Anniversary Vault Collection Pin Set 1</t>
        </is>
      </c>
      <c r="C175" t="inlineStr">
        <is>
          <t>Disneyland Resort</t>
        </is>
      </c>
      <c r="D175" t="inlineStr"/>
      <c r="E175" t="inlineStr"/>
      <c r="G175" t="inlineStr"/>
      <c r="H175" t="inlineStr">
        <is>
          <t>Set 1 of 4</t>
        </is>
      </c>
      <c r="I175" t="inlineStr"/>
      <c r="J175" t="inlineStr"/>
      <c r="K175" t="inlineStr"/>
      <c r="L175" t="inlineStr">
        <is>
          <t>limited edition</t>
        </is>
      </c>
      <c r="M175" t="n">
        <v>5000</v>
      </c>
      <c r="N175" t="n">
        <v>54.99</v>
      </c>
      <c r="O175" t="inlineStr">
        <is>
          <t>USD</t>
        </is>
      </c>
      <c r="P175" t="inlineStr"/>
      <c r="Q175" t="n">
        <v>5</v>
      </c>
      <c r="R175" t="n">
        <v>5</v>
      </c>
      <c r="S175">
        <f>IF(Q175="","",MAX(Q175-R175,0))</f>
        <v/>
      </c>
      <c r="T175" s="3">
        <f>IF(Q175="","",MIN(R175/Q175,1))</f>
        <v/>
      </c>
      <c r="U175" t="inlineStr">
        <is>
          <t>Donald Duck; Dopey; Goofy; Snow White; Space Mountain</t>
        </is>
      </c>
      <c r="V175" t="inlineStr"/>
      <c r="W175" t="inlineStr">
        <is>
          <t>evidenced</t>
        </is>
      </c>
      <c r="X175" t="inlineStr">
        <is>
          <t>Low</t>
        </is>
      </c>
      <c r="Y175" t="inlineStr">
        <is>
          <t>https://disneymouseketeer.com/disneyland-70th-anniversary-vault-collection-pin-set-1/</t>
        </is>
      </c>
      <c r="Z175" t="inlineStr">
        <is>
          <t>secondary</t>
        </is>
      </c>
      <c r="AA175" t="inlineStr">
        <is>
          <t>https://disneypinventory.com/view_item.php?itemID=45889</t>
        </is>
      </c>
      <c r="AB175" t="n">
        <v>3</v>
      </c>
      <c r="AC175" t="inlineStr"/>
      <c r="AD175" t="inlineStr"/>
      <c r="AE175" t="inlineStr"/>
      <c r="AF175" t="inlineStr"/>
      <c r="AG175" t="inlineStr">
        <is>
          <t>dlr/2025/70th-vault-collection-set-1</t>
        </is>
      </c>
    </row>
    <row r="176">
      <c r="A176" t="inlineStr">
        <is>
          <t>PHS-0175</t>
        </is>
      </c>
      <c r="B176" t="inlineStr">
        <is>
          <t>Disneyland 70th Anniversary Vault Collection Pin Set 2</t>
        </is>
      </c>
      <c r="C176" t="inlineStr">
        <is>
          <t>Disneyland Resort</t>
        </is>
      </c>
      <c r="D176" t="inlineStr"/>
      <c r="E176" t="inlineStr"/>
      <c r="G176" t="inlineStr"/>
      <c r="H176" t="inlineStr"/>
      <c r="I176" t="inlineStr"/>
      <c r="J176" t="inlineStr"/>
      <c r="K176" t="inlineStr"/>
      <c r="L176" t="inlineStr">
        <is>
          <t>limited edition</t>
        </is>
      </c>
      <c r="M176" t="n">
        <v>5000</v>
      </c>
      <c r="N176" t="n">
        <v>58.99</v>
      </c>
      <c r="O176" t="inlineStr">
        <is>
          <t>USD</t>
        </is>
      </c>
      <c r="P176" t="inlineStr">
        <is>
          <t>438019192445</t>
        </is>
      </c>
      <c r="Q176" t="n">
        <v>5</v>
      </c>
      <c r="R176" t="n">
        <v>5</v>
      </c>
      <c r="S176">
        <f>IF(Q176="","",MAX(Q176-R176,0))</f>
        <v/>
      </c>
      <c r="T176" s="3">
        <f>IF(Q176="","",MIN(R176/Q176,1))</f>
        <v/>
      </c>
      <c r="U176" t="inlineStr">
        <is>
          <t>Alice; Cyril Proudbottom; J. Thaddeus Toad; Mr. Toad; Mad Hatter; Matterhorn Bobsleds large pin</t>
        </is>
      </c>
      <c r="V176" t="inlineStr"/>
      <c r="W176" t="inlineStr">
        <is>
          <t>evidenced</t>
        </is>
      </c>
      <c r="X176" t="inlineStr">
        <is>
          <t>Medium</t>
        </is>
      </c>
      <c r="Y176" t="inlineStr">
        <is>
          <t>https://www.disneystore.com/disneyland-70th-anniversary-vault-collection-pin-set-2-limited-edition-438019192445.html</t>
        </is>
      </c>
      <c r="Z176" t="inlineStr">
        <is>
          <t>official</t>
        </is>
      </c>
      <c r="AA176" t="inlineStr">
        <is>
          <t>https://disneypinventory.com/view_item.php?itemID=48211</t>
        </is>
      </c>
      <c r="AB176" t="n">
        <v>3</v>
      </c>
      <c r="AC176" t="inlineStr"/>
      <c r="AD176" t="inlineStr"/>
      <c r="AE176" t="inlineStr"/>
      <c r="AF176" t="inlineStr"/>
      <c r="AG176" t="inlineStr">
        <is>
          <t>dlr/2025/70th-vault-collection-set-2</t>
        </is>
      </c>
    </row>
    <row r="177">
      <c r="A177" t="inlineStr">
        <is>
          <t>PHS-0176</t>
        </is>
      </c>
      <c r="B177" t="inlineStr">
        <is>
          <t>Disneyland Art Corner Pin Set</t>
        </is>
      </c>
      <c r="C177" t="inlineStr">
        <is>
          <t>Disneyland Resort</t>
        </is>
      </c>
      <c r="D177" t="inlineStr"/>
      <c r="E177" t="inlineStr"/>
      <c r="G177" t="inlineStr"/>
      <c r="H177" t="inlineStr"/>
      <c r="I177" t="inlineStr"/>
      <c r="J177" t="inlineStr"/>
      <c r="K177" t="inlineStr"/>
      <c r="L177" t="inlineStr"/>
      <c r="M177" t="n">
        <v>150</v>
      </c>
      <c r="N177" t="n">
        <v>99.98999999999999</v>
      </c>
      <c r="O177" t="inlineStr"/>
      <c r="P177" t="inlineStr"/>
      <c r="Q177" t="n">
        <v>5</v>
      </c>
      <c r="R177" t="n">
        <v>1</v>
      </c>
      <c r="S177">
        <f>IF(Q177="","",MAX(Q177-R177,0))</f>
        <v/>
      </c>
      <c r="T177" s="3">
        <f>IF(Q177="","",MIN(R177/Q177,1))</f>
        <v/>
      </c>
      <c r="U177" t="inlineStr">
        <is>
          <t>Donald Duck</t>
        </is>
      </c>
      <c r="V177" t="inlineStr"/>
      <c r="W177" t="inlineStr">
        <is>
          <t>evidenced (held)</t>
        </is>
      </c>
      <c r="X177" t="inlineStr">
        <is>
          <t>Low</t>
        </is>
      </c>
      <c r="Y177" t="inlineStr">
        <is>
          <t>https://disneypinventory.com/view_item.php?itemID=44752</t>
        </is>
      </c>
      <c r="Z177" t="inlineStr">
        <is>
          <t>secondary</t>
        </is>
      </c>
      <c r="AA177" t="inlineStr"/>
      <c r="AB177" t="n">
        <v>1</v>
      </c>
      <c r="AC177" t="inlineStr"/>
      <c r="AD177" t="inlineStr"/>
      <c r="AE177" t="inlineStr"/>
      <c r="AF177" t="inlineStr"/>
      <c r="AG177" t="inlineStr">
        <is>
          <t>dlr/2025/niftie-fifties-art-corner-set</t>
        </is>
      </c>
    </row>
    <row r="178">
      <c r="A178" t="inlineStr">
        <is>
          <t>PHS-0177</t>
        </is>
      </c>
      <c r="B178" t="inlineStr">
        <is>
          <t>Windows of Attraction 2025 Disney Store completer pins</t>
        </is>
      </c>
      <c r="C178" t="inlineStr">
        <is>
          <t>Disneyland Resort</t>
        </is>
      </c>
      <c r="D178" t="inlineStr"/>
      <c r="E178" t="inlineStr"/>
      <c r="G178" t="inlineStr"/>
      <c r="H178" t="inlineStr"/>
      <c r="I178" t="inlineStr">
        <is>
          <t>quarterly online completer pins</t>
        </is>
      </c>
      <c r="J178" t="inlineStr"/>
      <c r="K178" t="inlineStr"/>
      <c r="L178" t="inlineStr">
        <is>
          <t>limited edition</t>
        </is>
      </c>
      <c r="M178" t="inlineStr"/>
      <c r="N178" t="inlineStr"/>
      <c r="O178" t="inlineStr"/>
      <c r="P178" t="inlineStr"/>
      <c r="Q178" t="n">
        <v>4</v>
      </c>
      <c r="R178" t="n">
        <v>4</v>
      </c>
      <c r="S178">
        <f>IF(Q178="","",MAX(Q178-R178,0))</f>
        <v/>
      </c>
      <c r="T178" s="3">
        <f>IF(Q178="","",MIN(R178/Q178,1))</f>
        <v/>
      </c>
      <c r="U178" t="inlineStr">
        <is>
          <t>King Arthur Carrousel Windows of Attraction Pin; Sleeping Beauty Castle Windows of Attraction Pin; Space Mountain Pin, Disney Windows of Attraction, Limited Edition; RX-24 (Captain Rex)</t>
        </is>
      </c>
      <c r="V178" t="inlineStr"/>
      <c r="W178" t="inlineStr">
        <is>
          <t>evidenced (held)</t>
        </is>
      </c>
      <c r="X178" t="inlineStr">
        <is>
          <t>Low</t>
        </is>
      </c>
      <c r="Y178" t="inlineStr">
        <is>
          <t>https://www.disneystore.asia/sleeping-beauty-castle-pin-disney-windows-of-attraction-limited-edition-438010292120.html</t>
        </is>
      </c>
      <c r="Z178" t="inlineStr">
        <is>
          <t>official</t>
        </is>
      </c>
      <c r="AA178" t="inlineStr">
        <is>
          <t>https://www.disneystore.asia/space-mountain-pin-disney-windows-of-attraction-limited-edition-438019739077.html</t>
        </is>
      </c>
      <c r="AB178" t="n">
        <v>3</v>
      </c>
      <c r="AC178" t="inlineStr"/>
      <c r="AD178" t="inlineStr"/>
      <c r="AE178" t="inlineStr"/>
      <c r="AF178" t="inlineStr"/>
      <c r="AG178" t="inlineStr">
        <is>
          <t>dlr/2025/windows-of-attraction-2025-disney-store-completers</t>
        </is>
      </c>
    </row>
    <row r="179">
      <c r="A179" t="inlineStr">
        <is>
          <t>PHS-0178</t>
        </is>
      </c>
      <c r="B179" t="inlineStr">
        <is>
          <t>Walt's Magical Moments (2026)</t>
        </is>
      </c>
      <c r="C179" t="inlineStr">
        <is>
          <t>Disneyland Resort</t>
        </is>
      </c>
      <c r="D179" t="inlineStr"/>
      <c r="E179" t="inlineStr"/>
      <c r="G179" t="inlineStr"/>
      <c r="H179" t="inlineStr"/>
      <c r="I179" t="inlineStr">
        <is>
          <t>monthly limited edition pin series</t>
        </is>
      </c>
      <c r="J179" t="inlineStr"/>
      <c r="K179" t="inlineStr"/>
      <c r="L179" t="inlineStr">
        <is>
          <t>limited edition</t>
        </is>
      </c>
      <c r="M179" t="n">
        <v>2500</v>
      </c>
      <c r="N179" t="n">
        <v>24.99</v>
      </c>
      <c r="O179" t="inlineStr">
        <is>
          <t>USD</t>
        </is>
      </c>
      <c r="P179" t="inlineStr"/>
      <c r="Q179" t="inlineStr"/>
      <c r="R179" t="n">
        <v>7</v>
      </c>
      <c r="S179">
        <f>IF(Q179="","",MAX(Q179-R179,0))</f>
        <v/>
      </c>
      <c r="T179" s="3">
        <f>IF(Q179="","",MIN(R179/Q179,1))</f>
        <v/>
      </c>
      <c r="U179" t="inlineStr">
        <is>
          <t>20,000 Leagues Under the Sea - Walt's Magical Moments Pin; Enchanted Tiki Room - Walt's Magical Moments Pin; Experimental Prototype Community of Tomorrow - Walt's Magical Moments Pin; Mickey Ear Hat - Walt's Magical Moments Pin; Sleeping Beauty Castle - Walt's Magical Moments Pin; Snow White; Mickey Mouse; Walt Disney</t>
        </is>
      </c>
      <c r="V179" t="inlineStr"/>
      <c r="W179" t="inlineStr">
        <is>
          <t>evidenced</t>
        </is>
      </c>
      <c r="X179" t="inlineStr">
        <is>
          <t>Low</t>
        </is>
      </c>
      <c r="Y179" t="inlineStr">
        <is>
          <t>https://disneypinsblog.com/blogs/news/new-disney-pins-june-2026-week-1</t>
        </is>
      </c>
      <c r="Z179" t="inlineStr">
        <is>
          <t>secondary</t>
        </is>
      </c>
      <c r="AA179" t="inlineStr">
        <is>
          <t>https://disneypinsblog.com/disney-parks-2026-monthly-pin-collections/</t>
        </is>
      </c>
      <c r="AB179" t="n">
        <v>2</v>
      </c>
      <c r="AC179" t="inlineStr"/>
      <c r="AD179" t="inlineStr"/>
      <c r="AE179" t="inlineStr"/>
      <c r="AF179" t="inlineStr"/>
      <c r="AG179" t="inlineStr">
        <is>
          <t>dlr/2026/walts-magical-moments-2026</t>
        </is>
      </c>
    </row>
    <row r="180">
      <c r="A180" t="inlineStr">
        <is>
          <t>PHS-0179</t>
        </is>
      </c>
      <c r="B180" t="inlineStr">
        <is>
          <t>Walt's Magical Moments 2026 Disney Store completers</t>
        </is>
      </c>
      <c r="C180" t="inlineStr">
        <is>
          <t>Disneyland Resort</t>
        </is>
      </c>
      <c r="D180" t="inlineStr"/>
      <c r="E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4</v>
      </c>
      <c r="R180" t="n">
        <v>3</v>
      </c>
      <c r="S180">
        <f>IF(Q180="","",MAX(Q180-R180,0))</f>
        <v/>
      </c>
      <c r="T180" s="3">
        <f>IF(Q180="","",MIN(R180/Q180,1))</f>
        <v/>
      </c>
      <c r="U180" t="inlineStr">
        <is>
          <t>Walt Disney Disneyland Dedication Speech Pin; Walt Disney Feed the Birds Limited Edition Pin, Walt's Magical Moments; Walt Disney Flowers and Trees Pin - Walt's Magical Moments - Limited Edition</t>
        </is>
      </c>
      <c r="V180" t="inlineStr"/>
      <c r="W180" t="inlineStr">
        <is>
          <t>evidenced</t>
        </is>
      </c>
      <c r="X180" t="inlineStr">
        <is>
          <t>Low</t>
        </is>
      </c>
      <c r="Y180" t="inlineStr">
        <is>
          <t>https://www.disneystore.com/walt-disney-disneyland-dedication-speech-pin-walts-magical-moments-limited-edition-438010808062.html</t>
        </is>
      </c>
      <c r="Z180" t="inlineStr">
        <is>
          <t>official</t>
        </is>
      </c>
      <c r="AA180" t="inlineStr">
        <is>
          <t>https://www.disneystore.com/walt-disney-flowers-and-trees-pin-walts-magical-moments-limited-edition-438010104560.html</t>
        </is>
      </c>
      <c r="AB180" t="n">
        <v>4</v>
      </c>
      <c r="AC180" t="inlineStr"/>
      <c r="AD180" t="inlineStr"/>
      <c r="AE180" t="inlineStr"/>
      <c r="AF180" t="inlineStr"/>
      <c r="AG180" t="inlineStr">
        <is>
          <t>dlr/2026/walts-magical-moments-2026-disney-store-completers</t>
        </is>
      </c>
    </row>
    <row r="181">
      <c r="A181" t="inlineStr">
        <is>
          <t>PHS-0180</t>
        </is>
      </c>
      <c r="B181" t="inlineStr">
        <is>
          <t>Disney100 Tinker Bell Limited Edition Pin</t>
        </is>
      </c>
      <c r="C181" t="inlineStr">
        <is>
          <t>Disneyland Resort</t>
        </is>
      </c>
      <c r="D181" t="inlineStr"/>
      <c r="E181" t="inlineStr">
        <is>
          <t>2023-01</t>
        </is>
      </c>
      <c r="F181" t="n">
        <v>2023</v>
      </c>
      <c r="G181" t="inlineStr"/>
      <c r="H181" t="inlineStr"/>
      <c r="I181" t="inlineStr"/>
      <c r="J181" t="inlineStr"/>
      <c r="K181" t="inlineStr"/>
      <c r="L181" t="inlineStr"/>
      <c r="M181" t="n">
        <v>5000</v>
      </c>
      <c r="N181" t="n">
        <v>19.99</v>
      </c>
      <c r="O181" t="inlineStr"/>
      <c r="P181" t="inlineStr"/>
      <c r="Q181" t="n">
        <v>1</v>
      </c>
      <c r="R181" t="n">
        <v>1</v>
      </c>
      <c r="S181">
        <f>IF(Q181="","",MAX(Q181-R181,0))</f>
        <v/>
      </c>
      <c r="T181" s="3">
        <f>IF(Q181="","",MIN(R181/Q181,1))</f>
        <v/>
      </c>
      <c r="U181" t="inlineStr">
        <is>
          <t>Tinker Bell</t>
        </is>
      </c>
      <c r="V181" t="inlineStr"/>
      <c r="W181" t="inlineStr">
        <is>
          <t>evidenced</t>
        </is>
      </c>
      <c r="X181" t="inlineStr">
        <is>
          <t>Low</t>
        </is>
      </c>
      <c r="Y181" t="inlineStr">
        <is>
          <t>https://wdwnt.com/2023/01/new-limited-edition-pins-arrive-at-disneyland/</t>
        </is>
      </c>
      <c r="Z181" t="inlineStr">
        <is>
          <t>secondary</t>
        </is>
      </c>
      <c r="AA181" t="inlineStr"/>
      <c r="AB181" t="n">
        <v>1</v>
      </c>
      <c r="AC181" t="inlineStr"/>
      <c r="AD181" t="inlineStr"/>
      <c r="AE181" t="inlineStr"/>
      <c r="AF181" t="inlineStr"/>
      <c r="AG181" t="inlineStr">
        <is>
          <t>dlr/2023/disney100-tinker-bell-le</t>
        </is>
      </c>
    </row>
    <row r="182">
      <c r="A182" t="inlineStr">
        <is>
          <t>PHS-0181</t>
        </is>
      </c>
      <c r="B182" t="inlineStr">
        <is>
          <t>Disneyland Parades (2024)</t>
        </is>
      </c>
      <c r="C182" t="inlineStr">
        <is>
          <t>Disneyland Resort</t>
        </is>
      </c>
      <c r="D182" t="inlineStr"/>
      <c r="E182" t="inlineStr">
        <is>
          <t>2024-01</t>
        </is>
      </c>
      <c r="F182" t="n">
        <v>2024</v>
      </c>
      <c r="G182" t="inlineStr"/>
      <c r="H182" t="inlineStr"/>
      <c r="I182" t="inlineStr">
        <is>
          <t>monthly limited edition pin series</t>
        </is>
      </c>
      <c r="J182" t="inlineStr"/>
      <c r="K182" t="inlineStr"/>
      <c r="L182" t="inlineStr">
        <is>
          <t>limited edition</t>
        </is>
      </c>
      <c r="M182" t="n">
        <v>2500</v>
      </c>
      <c r="N182" t="inlineStr"/>
      <c r="O182" t="inlineStr"/>
      <c r="P182" t="inlineStr"/>
      <c r="Q182" t="n">
        <v>12</v>
      </c>
      <c r="R182" t="n">
        <v>12</v>
      </c>
      <c r="S182">
        <f>IF(Q182="","",MAX(Q182-R182,0))</f>
        <v/>
      </c>
      <c r="T182" s="3">
        <f>IF(Q182="","",MIN(R182/Q182,1))</f>
        <v/>
      </c>
      <c r="U182" t="inlineStr">
        <is>
          <t>Cheshire Cat; Big Thunder Mountain Railroad Disneyland Resort Fantasy Parade Limited Edition Pin; Buzz Lightyear Astro Blasters – Disneyland Parades (2024); Chip n Dale's Gadget Coaster – Disneyland Parades (2024); Enchanted Tiki Room 'Fantasy Parades' Pin; Jungle Cruise – Disneyland Parades (2024); Matterhorn – Disneyland Parades (2024); Mickey &amp; Minnie's Runaway Railway – Disneyland Parades (2024); Mr. Toad; Peter Pan's Flight – Disneyland Parades (2024); Pinocchio's Daring Journey – Disneyland Parades (2024); Hatbox Ghost</t>
        </is>
      </c>
      <c r="V182" t="inlineStr"/>
      <c r="W182" t="inlineStr">
        <is>
          <t>evidenced (held)</t>
        </is>
      </c>
      <c r="X182" t="inlineStr">
        <is>
          <t>Low</t>
        </is>
      </c>
      <c r="Y182" t="inlineStr">
        <is>
          <t>https://www.disneystore.co.uk/enchanted-tiki-room-disneyland-resort-fantasy-parade-limited-edition-pin-438017783553.html</t>
        </is>
      </c>
      <c r="Z182" t="inlineStr">
        <is>
          <t>official</t>
        </is>
      </c>
      <c r="AA182" t="inlineStr">
        <is>
          <t>https://www.disneystore.eu/big-thunder-mountain-railroad-disneyland-resort-fantasy-parade-limited-edition-pin-438017889170.html</t>
        </is>
      </c>
      <c r="AB182" t="n">
        <v>6</v>
      </c>
      <c r="AC182" t="inlineStr"/>
      <c r="AD182" t="inlineStr"/>
      <c r="AE182" t="inlineStr"/>
      <c r="AF182" t="inlineStr"/>
      <c r="AG182" t="inlineStr">
        <is>
          <t>dlr/2024/disneyland-parades-2024</t>
        </is>
      </c>
    </row>
    <row r="183">
      <c r="A183" t="inlineStr">
        <is>
          <t>PHS-0182</t>
        </is>
      </c>
      <c r="B183" t="inlineStr">
        <is>
          <t>Pin Trading Night June 2024 (Disneyland Hotel)</t>
        </is>
      </c>
      <c r="C183" t="inlineStr">
        <is>
          <t>Disneyland Resort</t>
        </is>
      </c>
      <c r="D183" t="inlineStr"/>
      <c r="E183" t="inlineStr">
        <is>
          <t>2024-06-04</t>
        </is>
      </c>
      <c r="F183" t="n">
        <v>2024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>
        <f>IF(Q183="","",MAX(Q183-R183,0))</f>
        <v/>
      </c>
      <c r="T183" s="3">
        <f>IF(Q183="","",MIN(R183/Q183,1))</f>
        <v/>
      </c>
      <c r="U183" t="inlineStr">
        <is>
          <t>Aladdin</t>
        </is>
      </c>
      <c r="V183" t="inlineStr"/>
      <c r="W183" t="inlineStr">
        <is>
          <t>evidenced</t>
        </is>
      </c>
      <c r="X183" t="inlineStr">
        <is>
          <t>Low</t>
        </is>
      </c>
      <c r="Y183" t="inlineStr">
        <is>
          <t>https://disneypinsblog.com/pin-trading-night-event-june-2024-at-disneyland/</t>
        </is>
      </c>
      <c r="Z183" t="inlineStr">
        <is>
          <t>secondary</t>
        </is>
      </c>
      <c r="AA183" t="inlineStr"/>
      <c r="AB183" t="n">
        <v>1</v>
      </c>
      <c r="AC183" t="inlineStr"/>
      <c r="AD183" t="inlineStr"/>
      <c r="AE183" t="inlineStr"/>
      <c r="AF183" t="inlineStr"/>
      <c r="AG183" t="inlineStr">
        <is>
          <t>dlr/2024/pin-trading-night-june-2024</t>
        </is>
      </c>
    </row>
    <row r="184">
      <c r="A184" t="inlineStr">
        <is>
          <t>PHS-0183</t>
        </is>
      </c>
      <c r="B184" t="inlineStr">
        <is>
          <t>Disneyland 70th Anniversary Jumbo Pin (D23 2024)</t>
        </is>
      </c>
      <c r="C184" t="inlineStr">
        <is>
          <t>Disneyland Resort</t>
        </is>
      </c>
      <c r="D184" t="inlineStr"/>
      <c r="E184" t="inlineStr">
        <is>
          <t>2024-08</t>
        </is>
      </c>
      <c r="F184" t="n">
        <v>2024</v>
      </c>
      <c r="G184" t="inlineStr"/>
      <c r="H184" t="inlineStr"/>
      <c r="I184" t="inlineStr"/>
      <c r="J184" t="inlineStr"/>
      <c r="K184" t="inlineStr"/>
      <c r="L184" t="inlineStr">
        <is>
          <t>limited edition</t>
        </is>
      </c>
      <c r="M184" t="n">
        <v>1500</v>
      </c>
      <c r="N184" t="n">
        <v>64.98999999999999</v>
      </c>
      <c r="O184" t="inlineStr">
        <is>
          <t>USD</t>
        </is>
      </c>
      <c r="P184" t="inlineStr"/>
      <c r="Q184" t="n">
        <v>1</v>
      </c>
      <c r="R184" t="n">
        <v>1</v>
      </c>
      <c r="S184">
        <f>IF(Q184="","",MAX(Q184-R184,0))</f>
        <v/>
      </c>
      <c r="T184" s="3">
        <f>IF(Q184="","",MIN(R184/Q184,1))</f>
        <v/>
      </c>
      <c r="U184" t="inlineStr">
        <is>
          <t>Disneyland 70th Anniversary Jumbo Pin</t>
        </is>
      </c>
      <c r="V184" t="inlineStr"/>
      <c r="W184" t="inlineStr">
        <is>
          <t>evidenced</t>
        </is>
      </c>
      <c r="X184" t="inlineStr">
        <is>
          <t>Low</t>
        </is>
      </c>
      <c r="Y184" t="inlineStr">
        <is>
          <t>https://disneypinsblog.com/d23-marketplace-disney-pin-releases-at-d23-2024/</t>
        </is>
      </c>
      <c r="Z184" t="inlineStr">
        <is>
          <t>secondary</t>
        </is>
      </c>
      <c r="AA184" t="inlineStr"/>
      <c r="AB184" t="n">
        <v>1</v>
      </c>
      <c r="AC184" t="inlineStr"/>
      <c r="AD184" t="inlineStr"/>
      <c r="AE184" t="inlineStr"/>
      <c r="AF184" t="inlineStr"/>
      <c r="AG184" t="inlineStr">
        <is>
          <t>dlr/2024/d23-2024-70th-anniversary-jumbo</t>
        </is>
      </c>
    </row>
    <row r="185">
      <c r="A185" t="inlineStr">
        <is>
          <t>PHS-0184</t>
        </is>
      </c>
      <c r="B185" t="inlineStr">
        <is>
          <t>Windows of Attraction (Disneyland 2025)</t>
        </is>
      </c>
      <c r="C185" t="inlineStr">
        <is>
          <t>Disneyland Resort</t>
        </is>
      </c>
      <c r="D185" t="inlineStr"/>
      <c r="E185" t="inlineStr">
        <is>
          <t>2025-01</t>
        </is>
      </c>
      <c r="F185" t="n">
        <v>2025</v>
      </c>
      <c r="G185" t="inlineStr"/>
      <c r="H185" t="inlineStr"/>
      <c r="I185" t="inlineStr">
        <is>
          <t>monthly limited edition pin series</t>
        </is>
      </c>
      <c r="J185" t="inlineStr"/>
      <c r="K185" t="inlineStr"/>
      <c r="L185" t="inlineStr">
        <is>
          <t>limited edition</t>
        </is>
      </c>
      <c r="M185" t="n">
        <v>2500</v>
      </c>
      <c r="N185" t="n">
        <v>24.99</v>
      </c>
      <c r="O185" t="inlineStr">
        <is>
          <t>USD</t>
        </is>
      </c>
      <c r="P185" t="inlineStr"/>
      <c r="Q185" t="n">
        <v>12</v>
      </c>
      <c r="R185" t="n">
        <v>12</v>
      </c>
      <c r="S185">
        <f>IF(Q185="","",MAX(Q185-R185,0))</f>
        <v/>
      </c>
      <c r="T185" s="3">
        <f>IF(Q185="","",MIN(R185/Q185,1))</f>
        <v/>
      </c>
      <c r="U185" t="inlineStr">
        <is>
          <t>Alice in Wonderland Windows of Attraction Pin; Big Thunder Mountain Railroad Windows of Attraction Pin; Disneyland Railroad Windows of Attraction Pin; Dumbo the Flying Elephant Windows of Attraction Pin; it's a small world Windows of Attraction Pin; Jungle Cruise Windows of Attraction Pin; Matterhorn Bobsleds Windows of Attraction Pin; Mr. Toad's Wild Ride Windows of Attraction Pin; Peter Pan's Flight Windows of Attraction Pin; Barker Bird; The Haunted Mansion Windows of Attraction Pin; Walt Disney's Enchanted Tiki Room Windows of Attraction Pin</t>
        </is>
      </c>
      <c r="V185" t="inlineStr"/>
      <c r="W185" t="inlineStr">
        <is>
          <t>evidenced (held)</t>
        </is>
      </c>
      <c r="X185" t="inlineStr">
        <is>
          <t>Low</t>
        </is>
      </c>
      <c r="Y185" t="inlineStr">
        <is>
          <t>https://disneypinsblog.com/blogs/news/new-disney-pins-october-2025-week-1</t>
        </is>
      </c>
      <c r="Z185" t="inlineStr">
        <is>
          <t>secondary</t>
        </is>
      </c>
      <c r="AA185" t="inlineStr">
        <is>
          <t>https://disneypinsblog.com/complete-disneyland-windows-of-attraction-pin-collection/</t>
        </is>
      </c>
      <c r="AB185" t="n">
        <v>3</v>
      </c>
      <c r="AC185" t="inlineStr"/>
      <c r="AD185" t="inlineStr"/>
      <c r="AE185" t="inlineStr"/>
      <c r="AF185" t="inlineStr"/>
      <c r="AG185" t="inlineStr">
        <is>
          <t>dlr/2025/windows-of-attraction-2025</t>
        </is>
      </c>
    </row>
    <row r="186">
      <c r="A186" t="inlineStr">
        <is>
          <t>PHS-0185</t>
        </is>
      </c>
      <c r="B186" t="inlineStr">
        <is>
          <t>Mickey Mouse Disneyland 70th Celebrate Happy Countdown Jumbo Pin</t>
        </is>
      </c>
      <c r="C186" t="inlineStr">
        <is>
          <t>Disneyland Resort</t>
        </is>
      </c>
      <c r="D186" t="inlineStr"/>
      <c r="E186" t="inlineStr">
        <is>
          <t>2025-03-25</t>
        </is>
      </c>
      <c r="F186" t="n">
        <v>2025</v>
      </c>
      <c r="G186" t="inlineStr"/>
      <c r="H186" t="inlineStr"/>
      <c r="I186" t="inlineStr"/>
      <c r="J186" t="inlineStr"/>
      <c r="K186" t="inlineStr"/>
      <c r="L186" t="inlineStr">
        <is>
          <t>limited edition</t>
        </is>
      </c>
      <c r="M186" t="n">
        <v>3000</v>
      </c>
      <c r="N186" t="n">
        <v>49.99</v>
      </c>
      <c r="O186" t="inlineStr">
        <is>
          <t>USD</t>
        </is>
      </c>
      <c r="P186" t="inlineStr"/>
      <c r="Q186" t="n">
        <v>1</v>
      </c>
      <c r="R186" t="n">
        <v>1</v>
      </c>
      <c r="S186">
        <f>IF(Q186="","",MAX(Q186-R186,0))</f>
        <v/>
      </c>
      <c r="T186" s="3">
        <f>IF(Q186="","",MIN(R186/Q186,1))</f>
        <v/>
      </c>
      <c r="U186" t="inlineStr">
        <is>
          <t>Mickey Mouse</t>
        </is>
      </c>
      <c r="V186" t="inlineStr"/>
      <c r="W186" t="inlineStr">
        <is>
          <t>evidenced</t>
        </is>
      </c>
      <c r="X186" t="inlineStr">
        <is>
          <t>Low</t>
        </is>
      </c>
      <c r="Y186" t="inlineStr">
        <is>
          <t>https://disneypinsblog.com/disneyland-70th-anniversary-celebrate-happy-pin-releases/</t>
        </is>
      </c>
      <c r="Z186" t="inlineStr">
        <is>
          <t>secondary</t>
        </is>
      </c>
      <c r="AA186" t="inlineStr">
        <is>
          <t>https://wdwnt.com/2025/03/new-colorful-disneyland-70th-anniversary-merchandise-now-available/</t>
        </is>
      </c>
      <c r="AB186" t="n">
        <v>2</v>
      </c>
      <c r="AC186" t="inlineStr"/>
      <c r="AD186" t="inlineStr"/>
      <c r="AE186" t="inlineStr"/>
      <c r="AF186" t="inlineStr"/>
      <c r="AG186" t="inlineStr">
        <is>
          <t>dlr/2025/70th-celebrate-happy-countdown-jumbo</t>
        </is>
      </c>
    </row>
    <row r="187">
      <c r="A187" t="inlineStr">
        <is>
          <t>PHS-0186</t>
        </is>
      </c>
      <c r="B187" t="inlineStr">
        <is>
          <t>Classic Castle Characters</t>
        </is>
      </c>
      <c r="C187" t="inlineStr">
        <is>
          <t>Disneyland Resort</t>
        </is>
      </c>
      <c r="D187" t="inlineStr"/>
      <c r="E187" t="inlineStr">
        <is>
          <t>2025-06-06</t>
        </is>
      </c>
      <c r="F187" t="n">
        <v>2025</v>
      </c>
      <c r="G187" t="inlineStr"/>
      <c r="H187" t="inlineStr"/>
      <c r="I187" t="inlineStr"/>
      <c r="J187" t="inlineStr"/>
      <c r="K187" t="inlineStr"/>
      <c r="L187" t="inlineStr"/>
      <c r="M187" t="n">
        <v>500</v>
      </c>
      <c r="N187" t="n">
        <v>34.99</v>
      </c>
      <c r="O187" t="inlineStr"/>
      <c r="P187" t="inlineStr"/>
      <c r="Q187" t="inlineStr"/>
      <c r="R187" t="n">
        <v>1</v>
      </c>
      <c r="S187">
        <f>IF(Q187="","",MAX(Q187-R187,0))</f>
        <v/>
      </c>
      <c r="T187" s="3">
        <f>IF(Q187="","",MIN(R187/Q187,1))</f>
        <v/>
      </c>
      <c r="U187" t="inlineStr">
        <is>
          <t>Tinker Bell</t>
        </is>
      </c>
      <c r="V187" t="inlineStr"/>
      <c r="W187" t="inlineStr">
        <is>
          <t>evidenced</t>
        </is>
      </c>
      <c r="X187" t="inlineStr">
        <is>
          <t>Low</t>
        </is>
      </c>
      <c r="Y187" t="inlineStr">
        <is>
          <t>https://disneypinventory.com/view_item.php?itemID=44713</t>
        </is>
      </c>
      <c r="Z187" t="inlineStr">
        <is>
          <t>secondary</t>
        </is>
      </c>
      <c r="AA187" t="inlineStr"/>
      <c r="AB187" t="n">
        <v>1</v>
      </c>
      <c r="AC187" t="inlineStr"/>
      <c r="AD187" t="inlineStr"/>
      <c r="AE187" t="inlineStr"/>
      <c r="AF187" t="inlineStr"/>
      <c r="AG187" t="inlineStr">
        <is>
          <t>dlr/2025/niftie-fifties-classic-castle-characters</t>
        </is>
      </c>
    </row>
    <row r="188">
      <c r="A188" t="inlineStr">
        <is>
          <t>PHS-0187</t>
        </is>
      </c>
      <c r="B188" t="inlineStr">
        <is>
          <t>Disneyland 70th Anniversary Vault Collection Pin Display Frame with Three Pins</t>
        </is>
      </c>
      <c r="C188" t="inlineStr">
        <is>
          <t>Disneyland Resort</t>
        </is>
      </c>
      <c r="D188" t="inlineStr"/>
      <c r="E188" t="inlineStr">
        <is>
          <t>2025-07</t>
        </is>
      </c>
      <c r="F188" t="n">
        <v>2025</v>
      </c>
      <c r="G188" t="inlineStr"/>
      <c r="H188" t="inlineStr"/>
      <c r="I188" t="inlineStr"/>
      <c r="J188" t="inlineStr"/>
      <c r="K188" t="inlineStr"/>
      <c r="L188" t="inlineStr">
        <is>
          <t>limited edition</t>
        </is>
      </c>
      <c r="M188" t="n">
        <v>3000</v>
      </c>
      <c r="N188" t="n">
        <v>150</v>
      </c>
      <c r="O188" t="inlineStr">
        <is>
          <t>USD</t>
        </is>
      </c>
      <c r="P188" t="inlineStr">
        <is>
          <t>438018657693</t>
        </is>
      </c>
      <c r="Q188" t="n">
        <v>3</v>
      </c>
      <c r="R188" t="n">
        <v>3</v>
      </c>
      <c r="S188">
        <f>IF(Q188="","",MAX(Q188-R188,0))</f>
        <v/>
      </c>
      <c r="T188" s="3">
        <f>IF(Q188="","",MIN(R188/Q188,1))</f>
        <v/>
      </c>
      <c r="U188" t="inlineStr">
        <is>
          <t>Mickey Mouse; Minnie Mouse; Sleeping Beauty Castle jumbo pin</t>
        </is>
      </c>
      <c r="V188" t="inlineStr"/>
      <c r="W188" t="inlineStr">
        <is>
          <t>evidenced (held)</t>
        </is>
      </c>
      <c r="X188" t="inlineStr">
        <is>
          <t>Medium</t>
        </is>
      </c>
      <c r="Y188" t="inlineStr">
        <is>
          <t>https://www.disneystore.com/disneyland-70th-anniversary-vault-collection-pin-display-frame-with-three-pins-limited-edition-438018657693.html</t>
        </is>
      </c>
      <c r="Z188" t="inlineStr">
        <is>
          <t>official</t>
        </is>
      </c>
      <c r="AA188" t="inlineStr">
        <is>
          <t>https://disneypinventory.com/view_item.php?itemID=46283</t>
        </is>
      </c>
      <c r="AB188" t="n">
        <v>3</v>
      </c>
      <c r="AC188" t="inlineStr"/>
      <c r="AD188" t="inlineStr"/>
      <c r="AE188" t="inlineStr"/>
      <c r="AF188" t="inlineStr"/>
      <c r="AG188" t="inlineStr">
        <is>
          <t>dlr/2025/70th-vault-collection-display-frame</t>
        </is>
      </c>
    </row>
    <row r="189">
      <c r="A189" t="inlineStr">
        <is>
          <t>PHS-0188</t>
        </is>
      </c>
      <c r="B189" t="inlineStr">
        <is>
          <t>Disneyland 70th Anniversary Aurora Mini Jumbo Pin</t>
        </is>
      </c>
      <c r="C189" t="inlineStr">
        <is>
          <t>Disneyland Resort</t>
        </is>
      </c>
      <c r="D189" t="inlineStr"/>
      <c r="E189" t="inlineStr">
        <is>
          <t>2025-09</t>
        </is>
      </c>
      <c r="F189" t="n">
        <v>2025</v>
      </c>
      <c r="G189" t="inlineStr"/>
      <c r="H189" t="inlineStr"/>
      <c r="I189" t="inlineStr"/>
      <c r="J189" t="inlineStr"/>
      <c r="K189" t="inlineStr"/>
      <c r="L189" t="inlineStr">
        <is>
          <t>limited edition</t>
        </is>
      </c>
      <c r="M189" t="n">
        <v>2900</v>
      </c>
      <c r="N189" t="n">
        <v>34.99</v>
      </c>
      <c r="O189" t="inlineStr">
        <is>
          <t>USD</t>
        </is>
      </c>
      <c r="P189" t="inlineStr"/>
      <c r="Q189" t="n">
        <v>1</v>
      </c>
      <c r="R189" t="n">
        <v>1</v>
      </c>
      <c r="S189">
        <f>IF(Q189="","",MAX(Q189-R189,0))</f>
        <v/>
      </c>
      <c r="T189" s="3">
        <f>IF(Q189="","",MIN(R189/Q189,1))</f>
        <v/>
      </c>
      <c r="U189" t="inlineStr">
        <is>
          <t>Aurora</t>
        </is>
      </c>
      <c r="V189" t="inlineStr"/>
      <c r="W189" t="inlineStr">
        <is>
          <t>evidenced</t>
        </is>
      </c>
      <c r="X189" t="inlineStr">
        <is>
          <t>Low</t>
        </is>
      </c>
      <c r="Y189" t="inlineStr">
        <is>
          <t>https://disneybymark.com/2025/09/new-disneyland-70th-anniversary-pins-magic-key-halloween-pin-and-more/</t>
        </is>
      </c>
      <c r="Z189" t="inlineStr">
        <is>
          <t>secondary</t>
        </is>
      </c>
      <c r="AA189" t="inlineStr">
        <is>
          <t>https://wdwnt.com/2025/09/disneyland-70th-anniversary-magic-key-halloween-pins/</t>
        </is>
      </c>
      <c r="AB189" t="n">
        <v>2</v>
      </c>
      <c r="AC189" t="inlineStr"/>
      <c r="AD189" t="inlineStr"/>
      <c r="AE189" t="inlineStr"/>
      <c r="AF189" t="inlineStr"/>
      <c r="AG189" t="inlineStr">
        <is>
          <t>dlr/2025/70th-aurora-mini-jumbo</t>
        </is>
      </c>
    </row>
    <row r="190">
      <c r="A190" t="inlineStr">
        <is>
          <t>PHS-0189</t>
        </is>
      </c>
      <c r="B190" t="inlineStr">
        <is>
          <t>Disneyland 70th Anniversary Super Jumbo Pin</t>
        </is>
      </c>
      <c r="C190" t="inlineStr">
        <is>
          <t>Disneyland Resort</t>
        </is>
      </c>
      <c r="D190" t="inlineStr"/>
      <c r="E190" t="inlineStr">
        <is>
          <t>2025-09</t>
        </is>
      </c>
      <c r="F190" t="n">
        <v>2025</v>
      </c>
      <c r="G190" t="inlineStr"/>
      <c r="H190" t="inlineStr"/>
      <c r="I190" t="inlineStr"/>
      <c r="J190" t="inlineStr"/>
      <c r="K190" t="inlineStr"/>
      <c r="L190" t="inlineStr">
        <is>
          <t>limited edition</t>
        </is>
      </c>
      <c r="M190" t="n">
        <v>250</v>
      </c>
      <c r="N190" t="n">
        <v>225</v>
      </c>
      <c r="O190" t="inlineStr">
        <is>
          <t>USD</t>
        </is>
      </c>
      <c r="P190" t="inlineStr"/>
      <c r="Q190" t="n">
        <v>1</v>
      </c>
      <c r="R190" t="n">
        <v>1</v>
      </c>
      <c r="S190">
        <f>IF(Q190="","",MAX(Q190-R190,0))</f>
        <v/>
      </c>
      <c r="T190" s="3">
        <f>IF(Q190="","",MIN(R190/Q190,1))</f>
        <v/>
      </c>
      <c r="U190" t="inlineStr">
        <is>
          <t>Mickey Mouse</t>
        </is>
      </c>
      <c r="V190" t="inlineStr"/>
      <c r="W190" t="inlineStr">
        <is>
          <t>evidenced (held)</t>
        </is>
      </c>
      <c r="X190" t="inlineStr">
        <is>
          <t>Low</t>
        </is>
      </c>
      <c r="Y190" t="inlineStr">
        <is>
          <t>https://disneybymark.com/2025/09/new-disneyland-70th-anniversary-pins-magic-key-halloween-pin-and-more/</t>
        </is>
      </c>
      <c r="Z190" t="inlineStr">
        <is>
          <t>secondary</t>
        </is>
      </c>
      <c r="AA190" t="inlineStr">
        <is>
          <t>https://wdwnt.com/2025/09/disneyland-70th-anniversary-magic-key-halloween-pins/</t>
        </is>
      </c>
      <c r="AB190" t="n">
        <v>2</v>
      </c>
      <c r="AC190" t="inlineStr"/>
      <c r="AD190" t="inlineStr"/>
      <c r="AE190" t="inlineStr"/>
      <c r="AF190" t="inlineStr"/>
      <c r="AG190" t="inlineStr">
        <is>
          <t>dlr/2025/70th-super-jumbo</t>
        </is>
      </c>
    </row>
    <row r="191">
      <c r="A191" t="inlineStr">
        <is>
          <t>PHS-0190</t>
        </is>
      </c>
      <c r="B191" t="inlineStr">
        <is>
          <t>Magic Key Exclusive Halloween Pin 2025</t>
        </is>
      </c>
      <c r="C191" t="inlineStr">
        <is>
          <t>Disneyland Resort</t>
        </is>
      </c>
      <c r="D191" t="inlineStr"/>
      <c r="E191" t="inlineStr">
        <is>
          <t>2025-09</t>
        </is>
      </c>
      <c r="F191" t="n">
        <v>2025</v>
      </c>
      <c r="G191" t="inlineStr"/>
      <c r="H191" t="inlineStr"/>
      <c r="I191" t="inlineStr"/>
      <c r="J191" t="inlineStr"/>
      <c r="K191" t="inlineStr"/>
      <c r="L191" t="inlineStr">
        <is>
          <t>limited edition</t>
        </is>
      </c>
      <c r="M191" t="n">
        <v>3000</v>
      </c>
      <c r="N191" t="n">
        <v>22.99</v>
      </c>
      <c r="O191" t="inlineStr">
        <is>
          <t>USD</t>
        </is>
      </c>
      <c r="P191" t="inlineStr"/>
      <c r="Q191" t="n">
        <v>1</v>
      </c>
      <c r="R191" t="n">
        <v>1</v>
      </c>
      <c r="S191">
        <f>IF(Q191="","",MAX(Q191-R191,0))</f>
        <v/>
      </c>
      <c r="T191" s="3">
        <f>IF(Q191="","",MIN(R191/Q191,1))</f>
        <v/>
      </c>
      <c r="U191" t="inlineStr">
        <is>
          <t>Mickey Mouse; Minnie Mouse</t>
        </is>
      </c>
      <c r="V191" t="inlineStr"/>
      <c r="W191" t="inlineStr">
        <is>
          <t>evidenced</t>
        </is>
      </c>
      <c r="X191" t="inlineStr">
        <is>
          <t>Low</t>
        </is>
      </c>
      <c r="Y191" t="inlineStr">
        <is>
          <t>https://disneybymark.com/2025/09/new-disneyland-70th-anniversary-pins-magic-key-halloween-pin-and-more/</t>
        </is>
      </c>
      <c r="Z191" t="inlineStr">
        <is>
          <t>secondary</t>
        </is>
      </c>
      <c r="AA191" t="inlineStr">
        <is>
          <t>https://wdwnt.com/2025/09/disneyland-70th-anniversary-magic-key-halloween-pins/</t>
        </is>
      </c>
      <c r="AB191" t="n">
        <v>2</v>
      </c>
      <c r="AC191" t="inlineStr"/>
      <c r="AD191" t="inlineStr"/>
      <c r="AE191" t="inlineStr"/>
      <c r="AF191" t="inlineStr"/>
      <c r="AG191" t="inlineStr">
        <is>
          <t>dlr/2025/magic-key-halloween-2025</t>
        </is>
      </c>
    </row>
    <row r="192">
      <c r="A192" t="inlineStr">
        <is>
          <t>PHS-0191</t>
        </is>
      </c>
      <c r="B192" t="inlineStr">
        <is>
          <t>D23-Exclusive Disneyland 70th Anniversary Destinations Pin Set</t>
        </is>
      </c>
      <c r="C192" t="inlineStr">
        <is>
          <t>Disneyland Resort</t>
        </is>
      </c>
      <c r="D192" t="inlineStr">
        <is>
          <t>D23</t>
        </is>
      </c>
      <c r="E192" t="inlineStr">
        <is>
          <t>2025-10</t>
        </is>
      </c>
      <c r="F192" t="n">
        <v>2025</v>
      </c>
      <c r="G192" t="inlineStr"/>
      <c r="H192" t="inlineStr"/>
      <c r="I192" t="inlineStr">
        <is>
          <t>boxed set in commemorative display box</t>
        </is>
      </c>
      <c r="J192" t="inlineStr"/>
      <c r="K192" t="inlineStr"/>
      <c r="L192" t="inlineStr"/>
      <c r="M192" t="n">
        <v>1000</v>
      </c>
      <c r="N192" t="n">
        <v>59.99</v>
      </c>
      <c r="O192" t="inlineStr"/>
      <c r="P192" t="inlineStr"/>
      <c r="Q192" t="n">
        <v>5</v>
      </c>
      <c r="R192" t="n">
        <v>5</v>
      </c>
      <c r="S192">
        <f>IF(Q192="","",MAX(Q192-R192,0))</f>
        <v/>
      </c>
      <c r="T192" s="3">
        <f>IF(Q192="","",MIN(R192/Q192,1))</f>
        <v/>
      </c>
      <c r="U192" t="inlineStr">
        <is>
          <t>Bayou Country (Destinations); Grizzly Peak (Destinations); it's a small world (Destinations); Pixar Pier (Destinations); Sleeping Beauty Castle (Destinations)</t>
        </is>
      </c>
      <c r="V192" t="inlineStr"/>
      <c r="W192" t="inlineStr">
        <is>
          <t>evidenced</t>
        </is>
      </c>
      <c r="X192" t="inlineStr">
        <is>
          <t>Low</t>
        </is>
      </c>
      <c r="Y192" t="inlineStr">
        <is>
          <t>https://mickeyblog.com/2025/10/21/celebrate-70-years-of-disneyland-with-the-new-d23-exclusive-pin-sets/</t>
        </is>
      </c>
      <c r="Z192" t="inlineStr">
        <is>
          <t>secondary</t>
        </is>
      </c>
      <c r="AA192" t="inlineStr">
        <is>
          <t>https://wdwnt.com/2025/10/new-d23-exclusive-disneyland-70th-anniversary-pin-sets-available-online/</t>
        </is>
      </c>
      <c r="AB192" t="n">
        <v>2</v>
      </c>
      <c r="AC192" t="inlineStr"/>
      <c r="AD192" t="inlineStr"/>
      <c r="AE192" t="inlineStr"/>
      <c r="AF192" t="inlineStr"/>
      <c r="AG192" t="inlineStr">
        <is>
          <t>dlr/2025/d23-70th-destinations-pin-set</t>
        </is>
      </c>
    </row>
    <row r="193">
      <c r="A193" t="inlineStr">
        <is>
          <t>PHS-0192</t>
        </is>
      </c>
      <c r="B193" t="inlineStr">
        <is>
          <t>D23-Exclusive Disneyland 70th Anniversary Legacy Pin Set</t>
        </is>
      </c>
      <c r="C193" t="inlineStr">
        <is>
          <t>Disneyland Resort</t>
        </is>
      </c>
      <c r="D193" t="inlineStr">
        <is>
          <t>D23</t>
        </is>
      </c>
      <c r="E193" t="inlineStr">
        <is>
          <t>2025-10</t>
        </is>
      </c>
      <c r="F193" t="n">
        <v>2025</v>
      </c>
      <c r="G193" t="inlineStr"/>
      <c r="H193" t="inlineStr"/>
      <c r="I193" t="inlineStr"/>
      <c r="J193" t="inlineStr"/>
      <c r="K193" t="inlineStr"/>
      <c r="L193" t="inlineStr"/>
      <c r="M193" t="n">
        <v>1000</v>
      </c>
      <c r="N193" t="n">
        <v>59.99</v>
      </c>
      <c r="O193" t="inlineStr"/>
      <c r="P193" t="inlineStr"/>
      <c r="Q193" t="n">
        <v>7</v>
      </c>
      <c r="R193" t="n">
        <v>7</v>
      </c>
      <c r="S193">
        <f>IF(Q193="","",MAX(Q193-R193,0))</f>
        <v/>
      </c>
      <c r="T193" s="3">
        <f>IF(Q193="","",MIN(R193/Q193,1))</f>
        <v/>
      </c>
      <c r="U193" t="inlineStr">
        <is>
          <t>Disneyland 10th Anniversary logo; Disneyland 25th Anniversary logo; Disneyland 35th Anniversary logo; Disneyland 40th Anniversary logo; Disneyland 50th Anniversary logo; Disneyland 60th Anniversary logo; Disneyland 70th Anniversary logo</t>
        </is>
      </c>
      <c r="V193" t="inlineStr"/>
      <c r="W193" t="inlineStr">
        <is>
          <t>evidenced</t>
        </is>
      </c>
      <c r="X193" t="inlineStr">
        <is>
          <t>Low</t>
        </is>
      </c>
      <c r="Y193" t="inlineStr">
        <is>
          <t>https://disneypinventory.com/view_item.php?itemID=47419</t>
        </is>
      </c>
      <c r="Z193" t="inlineStr">
        <is>
          <t>secondary</t>
        </is>
      </c>
      <c r="AA193" t="inlineStr">
        <is>
          <t>https://disneypinventory.com/view_item.php?itemID=47423</t>
        </is>
      </c>
      <c r="AB193" t="n">
        <v>3</v>
      </c>
      <c r="AC193" t="inlineStr"/>
      <c r="AD193" t="inlineStr"/>
      <c r="AE193" t="inlineStr"/>
      <c r="AF193" t="inlineStr"/>
      <c r="AG193" t="inlineStr">
        <is>
          <t>dlr/2025/d23-70th-legacy-pin-set</t>
        </is>
      </c>
    </row>
    <row r="194">
      <c r="A194" t="inlineStr">
        <is>
          <t>PHS-0193</t>
        </is>
      </c>
      <c r="B194" t="inlineStr">
        <is>
          <t>2025 Disneyland Resort Hotel Holiday Snow Globe Pins</t>
        </is>
      </c>
      <c r="C194" t="inlineStr">
        <is>
          <t>Disneyland Resort</t>
        </is>
      </c>
      <c r="D194" t="inlineStr"/>
      <c r="E194" t="inlineStr">
        <is>
          <t>2025-11</t>
        </is>
      </c>
      <c r="F194" t="n">
        <v>2025</v>
      </c>
      <c r="G194" t="inlineStr"/>
      <c r="H194" t="inlineStr"/>
      <c r="I194" t="inlineStr"/>
      <c r="J194" t="inlineStr"/>
      <c r="K194" t="inlineStr"/>
      <c r="L194" t="inlineStr">
        <is>
          <t>limited edition</t>
        </is>
      </c>
      <c r="M194" t="inlineStr"/>
      <c r="N194" t="inlineStr"/>
      <c r="O194" t="inlineStr"/>
      <c r="P194" t="inlineStr"/>
      <c r="Q194" t="n">
        <v>3</v>
      </c>
      <c r="R194" t="n">
        <v>2</v>
      </c>
      <c r="S194">
        <f>IF(Q194="","",MAX(Q194-R194,0))</f>
        <v/>
      </c>
      <c r="T194" s="3">
        <f>IF(Q194="","",MIN(R194/Q194,1))</f>
        <v/>
      </c>
      <c r="U194" t="inlineStr">
        <is>
          <t>Tinker Bell; Chip; Dale</t>
        </is>
      </c>
      <c r="V194" t="inlineStr"/>
      <c r="W194" t="inlineStr">
        <is>
          <t>evidenced</t>
        </is>
      </c>
      <c r="X194" t="inlineStr">
        <is>
          <t>Low</t>
        </is>
      </c>
      <c r="Y194" t="inlineStr">
        <is>
          <t>https://mypincentral.com/blog_post/pin-releases-disney-resorts-holiday-snow-globes</t>
        </is>
      </c>
      <c r="Z194" t="inlineStr">
        <is>
          <t>secondary</t>
        </is>
      </c>
      <c r="AA194" t="inlineStr">
        <is>
          <t>https://wdwnt.com/2025/11/disneyland-resort-snow-globe-pins/</t>
        </is>
      </c>
      <c r="AB194" t="n">
        <v>2</v>
      </c>
      <c r="AC194" t="inlineStr"/>
      <c r="AD194" t="inlineStr"/>
      <c r="AE194" t="inlineStr"/>
      <c r="AF194" t="inlineStr"/>
      <c r="AG194" t="inlineStr">
        <is>
          <t>dlr/2025/resort-hotel-holiday-snow-globes-2025</t>
        </is>
      </c>
    </row>
    <row r="195">
      <c r="A195" t="inlineStr">
        <is>
          <t>PHS-0194</t>
        </is>
      </c>
      <c r="B195" t="inlineStr">
        <is>
          <t>Disneyland 70th Anniversary Vault Collection Pin Set 3</t>
        </is>
      </c>
      <c r="C195" t="inlineStr">
        <is>
          <t>Disneyland Resort</t>
        </is>
      </c>
      <c r="D195" t="inlineStr"/>
      <c r="E195" t="inlineStr">
        <is>
          <t>2026-04-07</t>
        </is>
      </c>
      <c r="F195" t="n">
        <v>2026</v>
      </c>
      <c r="G195" t="inlineStr"/>
      <c r="H195" t="inlineStr"/>
      <c r="I195" t="inlineStr"/>
      <c r="J195" t="inlineStr"/>
      <c r="K195" t="inlineStr"/>
      <c r="L195" t="inlineStr"/>
      <c r="M195" t="n">
        <v>5000</v>
      </c>
      <c r="N195" t="n">
        <v>54.99</v>
      </c>
      <c r="O195" t="inlineStr"/>
      <c r="P195" t="inlineStr"/>
      <c r="Q195" t="n">
        <v>5</v>
      </c>
      <c r="R195" t="n">
        <v>4</v>
      </c>
      <c r="S195">
        <f>IF(Q195="","",MAX(Q195-R195,0))</f>
        <v/>
      </c>
      <c r="T195" s="3">
        <f>IF(Q195="","",MIN(R195/Q195,1))</f>
        <v/>
      </c>
      <c r="U195" t="inlineStr">
        <is>
          <t>Aurora; Carthay Circle large pin; Chip; Dale; Fauna; Flora; Merryweather</t>
        </is>
      </c>
      <c r="V195" t="inlineStr"/>
      <c r="W195" t="inlineStr">
        <is>
          <t>evidenced (held)</t>
        </is>
      </c>
      <c r="X195" t="inlineStr">
        <is>
          <t>Low</t>
        </is>
      </c>
      <c r="Y195" t="inlineStr">
        <is>
          <t>https://wdwnt.com/2026/02/disneyland-resort-pin-tuesday-mardi-gras-magical-theater-snow-white-pins-and-more/</t>
        </is>
      </c>
      <c r="Z195" t="inlineStr">
        <is>
          <t>secondary</t>
        </is>
      </c>
      <c r="AA195" t="inlineStr">
        <is>
          <t>https://www.dismerchandise.com/2026/04/07/disneyland-70th-anniversary-vault-collection-pin-set-3-limited-edition-available-online-for-purchase/</t>
        </is>
      </c>
      <c r="AB195" t="n">
        <v>2</v>
      </c>
      <c r="AC195" t="inlineStr"/>
      <c r="AD195" t="inlineStr"/>
      <c r="AE195" t="inlineStr"/>
      <c r="AF195" t="inlineStr"/>
      <c r="AG195" t="inlineStr">
        <is>
          <t>dlr/2026/70th-vault-collection-set-3</t>
        </is>
      </c>
    </row>
    <row r="196">
      <c r="A196" t="inlineStr">
        <is>
          <t>PHS-0195</t>
        </is>
      </c>
      <c r="B196" t="inlineStr">
        <is>
          <t>Dumbo 85th Anniversary Pin</t>
        </is>
      </c>
      <c r="C196" t="inlineStr">
        <is>
          <t>Disneyland Resort</t>
        </is>
      </c>
      <c r="D196" t="inlineStr"/>
      <c r="E196" t="inlineStr">
        <is>
          <t>2026-10-06</t>
        </is>
      </c>
      <c r="F196" t="n">
        <v>2026</v>
      </c>
      <c r="G196" t="inlineStr"/>
      <c r="H196" t="inlineStr"/>
      <c r="I196" t="inlineStr"/>
      <c r="J196" t="inlineStr"/>
      <c r="K196" t="inlineStr"/>
      <c r="L196" t="inlineStr">
        <is>
          <t>limited edition</t>
        </is>
      </c>
      <c r="M196" t="n">
        <v>4000</v>
      </c>
      <c r="N196" t="n">
        <v>49.99</v>
      </c>
      <c r="O196" t="inlineStr">
        <is>
          <t>USD</t>
        </is>
      </c>
      <c r="P196" t="inlineStr"/>
      <c r="Q196" t="n">
        <v>1</v>
      </c>
      <c r="R196" t="n">
        <v>1</v>
      </c>
      <c r="S196">
        <f>IF(Q196="","",MAX(Q196-R196,0))</f>
        <v/>
      </c>
      <c r="T196" s="3">
        <f>IF(Q196="","",MIN(R196/Q196,1))</f>
        <v/>
      </c>
      <c r="U196" t="inlineStr">
        <is>
          <t>Dumbo</t>
        </is>
      </c>
      <c r="V196" t="inlineStr"/>
      <c r="W196" t="inlineStr">
        <is>
          <t>evidenced</t>
        </is>
      </c>
      <c r="X196" t="inlineStr">
        <is>
          <t>Low</t>
        </is>
      </c>
      <c r="Y196" t="inlineStr">
        <is>
          <t>https://disneypinsblog.com/blogs/news/new-disney-pins-october-2026-week-1</t>
        </is>
      </c>
      <c r="Z196" t="inlineStr">
        <is>
          <t>secondary</t>
        </is>
      </c>
      <c r="AA196" t="inlineStr">
        <is>
          <t>https://wdwnt.com/2026/10/october-2026-disneyland-pin-release-includes-haunted-mansion-holiday-monsters-inc-25th-anniversary-and-more/</t>
        </is>
      </c>
      <c r="AB196" t="n">
        <v>2</v>
      </c>
      <c r="AC196" t="inlineStr"/>
      <c r="AD196" t="inlineStr"/>
      <c r="AE196" t="inlineStr"/>
      <c r="AF196" t="inlineStr"/>
      <c r="AG196" t="inlineStr">
        <is>
          <t>dlr/2026/dumbo-85th-anniversary</t>
        </is>
      </c>
    </row>
    <row r="197">
      <c r="A197" t="inlineStr">
        <is>
          <t>PHS-0196</t>
        </is>
      </c>
      <c r="B197" t="inlineStr">
        <is>
          <t>Monsters, Inc. 25th Anniversary Mike, Sully and Boo Pin</t>
        </is>
      </c>
      <c r="C197" t="inlineStr">
        <is>
          <t>Disneyland Resort</t>
        </is>
      </c>
      <c r="D197" t="inlineStr"/>
      <c r="E197" t="inlineStr">
        <is>
          <t>2026-10-13</t>
        </is>
      </c>
      <c r="F197" t="n">
        <v>2026</v>
      </c>
      <c r="G197" t="inlineStr"/>
      <c r="H197" t="inlineStr"/>
      <c r="I197" t="inlineStr"/>
      <c r="J197" t="inlineStr"/>
      <c r="K197" t="inlineStr"/>
      <c r="L197" t="inlineStr">
        <is>
          <t>limited edition</t>
        </is>
      </c>
      <c r="M197" t="n">
        <v>4000</v>
      </c>
      <c r="N197" t="n">
        <v>24.99</v>
      </c>
      <c r="O197" t="inlineStr">
        <is>
          <t>USD</t>
        </is>
      </c>
      <c r="P197" t="inlineStr"/>
      <c r="Q197" t="n">
        <v>1</v>
      </c>
      <c r="R197" t="n">
        <v>1</v>
      </c>
      <c r="S197">
        <f>IF(Q197="","",MAX(Q197-R197,0))</f>
        <v/>
      </c>
      <c r="T197" s="3">
        <f>IF(Q197="","",MIN(R197/Q197,1))</f>
        <v/>
      </c>
      <c r="U197" t="inlineStr">
        <is>
          <t>Boo; Mike Wazowski; Sulley</t>
        </is>
      </c>
      <c r="V197" t="inlineStr"/>
      <c r="W197" t="inlineStr">
        <is>
          <t>evidenced</t>
        </is>
      </c>
      <c r="X197" t="inlineStr">
        <is>
          <t>Low</t>
        </is>
      </c>
      <c r="Y197" t="inlineStr">
        <is>
          <t>https://wdwnt.com/2026/10/october-2026-disneyland-pin-release-includes-haunted-mansion-holiday-monsters-inc-25th-anniversary-and-more/</t>
        </is>
      </c>
      <c r="Z197" t="inlineStr">
        <is>
          <t>secondary</t>
        </is>
      </c>
      <c r="AA197" t="inlineStr"/>
      <c r="AB197" t="n">
        <v>1</v>
      </c>
      <c r="AC197" t="inlineStr"/>
      <c r="AD197" t="inlineStr"/>
      <c r="AE197" t="inlineStr"/>
      <c r="AF197" t="inlineStr"/>
      <c r="AG197" t="inlineStr">
        <is>
          <t>dlr/2026/monsters-inc-25th-mike-sully-boo</t>
        </is>
      </c>
    </row>
    <row r="198">
      <c r="A198" t="inlineStr">
        <is>
          <t>PHS-0197</t>
        </is>
      </c>
      <c r="B198" t="inlineStr">
        <is>
          <t>Chip 'n Dale Limited Release Christmas Countdown 2024 Jumbo Pin</t>
        </is>
      </c>
      <c r="C198" t="inlineStr">
        <is>
          <t>Disney Store UK</t>
        </is>
      </c>
      <c r="D198" t="inlineStr"/>
      <c r="E198" t="inlineStr"/>
      <c r="G198" t="inlineStr"/>
      <c r="H198" t="inlineStr"/>
      <c r="I198" t="inlineStr">
        <is>
          <t>jumbo countdown pin with dials and easel</t>
        </is>
      </c>
      <c r="J198" t="inlineStr"/>
      <c r="K198" t="inlineStr"/>
      <c r="L198" t="inlineStr">
        <is>
          <t>limited release</t>
        </is>
      </c>
      <c r="M198" t="inlineStr"/>
      <c r="N198" t="inlineStr">
        <is>
          <t>UK: 11.99 | EU: 14</t>
        </is>
      </c>
      <c r="O198" t="inlineStr">
        <is>
          <t>GBP</t>
        </is>
      </c>
      <c r="P198" t="inlineStr">
        <is>
          <t>438018035187</t>
        </is>
      </c>
      <c r="Q198" t="n">
        <v>1</v>
      </c>
      <c r="R198" t="n">
        <v>1</v>
      </c>
      <c r="S198">
        <f>IF(Q198="","",MAX(Q198-R198,0))</f>
        <v/>
      </c>
      <c r="T198" s="3">
        <f>IF(Q198="","",MIN(R198/Q198,1))</f>
        <v/>
      </c>
      <c r="U198" t="inlineStr">
        <is>
          <t>Chip; Dale</t>
        </is>
      </c>
      <c r="V198" t="inlineStr"/>
      <c r="W198" t="inlineStr">
        <is>
          <t>evidenced</t>
        </is>
      </c>
      <c r="X198" t="inlineStr">
        <is>
          <t>Medium</t>
        </is>
      </c>
      <c r="Y198" t="inlineStr">
        <is>
          <t>https://www.disneystore.co.uk/chip-n-dale-limited-release-christmas-countdown-2024-jumbo-pin-438018035187.html</t>
        </is>
      </c>
      <c r="Z198" t="inlineStr">
        <is>
          <t>official</t>
        </is>
      </c>
      <c r="AA198" t="inlineStr">
        <is>
          <t>https://www.disneystore.eu/chip-n-dale-limited-release-christmas-countdown-2024-jumbo-pin-438018035187.html</t>
        </is>
      </c>
      <c r="AB198" t="n">
        <v>4</v>
      </c>
      <c r="AC198" t="inlineStr"/>
      <c r="AD198" t="inlineStr"/>
      <c r="AE198" t="inlineStr"/>
      <c r="AF198" t="inlineStr"/>
      <c r="AG198" t="inlineStr">
        <is>
          <t>dsuk/2024/chip-n-dale-christmas-countdown-2024-jumbo</t>
        </is>
      </c>
    </row>
    <row r="199">
      <c r="A199" t="inlineStr">
        <is>
          <t>PHS-0198</t>
        </is>
      </c>
      <c r="B199" t="inlineStr">
        <is>
          <t>Chip 'n Dale New Year's Eve 2024 Limited Release Pin</t>
        </is>
      </c>
      <c r="C199" t="inlineStr">
        <is>
          <t>Disney Store UK</t>
        </is>
      </c>
      <c r="D199" t="inlineStr"/>
      <c r="E199" t="inlineStr"/>
      <c r="G199" t="inlineStr"/>
      <c r="H199" t="inlineStr"/>
      <c r="I199" t="inlineStr"/>
      <c r="J199" t="inlineStr"/>
      <c r="K199" t="inlineStr"/>
      <c r="L199" t="inlineStr">
        <is>
          <t>limited release</t>
        </is>
      </c>
      <c r="M199" t="inlineStr"/>
      <c r="N199" t="n">
        <v>16</v>
      </c>
      <c r="O199" t="inlineStr">
        <is>
          <t>EUR</t>
        </is>
      </c>
      <c r="P199" t="inlineStr">
        <is>
          <t>438017458758</t>
        </is>
      </c>
      <c r="Q199" t="n">
        <v>1</v>
      </c>
      <c r="R199" t="n">
        <v>1</v>
      </c>
      <c r="S199">
        <f>IF(Q199="","",MAX(Q199-R199,0))</f>
        <v/>
      </c>
      <c r="T199" s="3">
        <f>IF(Q199="","",MIN(R199/Q199,1))</f>
        <v/>
      </c>
      <c r="U199" t="inlineStr">
        <is>
          <t>Chip; Dale</t>
        </is>
      </c>
      <c r="V199" t="inlineStr"/>
      <c r="W199" t="inlineStr">
        <is>
          <t>evidenced</t>
        </is>
      </c>
      <c r="X199" t="inlineStr">
        <is>
          <t>Medium</t>
        </is>
      </c>
      <c r="Y199" t="inlineStr">
        <is>
          <t>https://www.disneystore.co.uk/chip-n-dale-new-years-eve-2024-limited-release-pin-438017458758.html</t>
        </is>
      </c>
      <c r="Z199" t="inlineStr">
        <is>
          <t>official</t>
        </is>
      </c>
      <c r="AA199" t="inlineStr">
        <is>
          <t>https://www.disneystore.eu/chip-n-dale-new-years-eve-2024-limited-release-pin-438017458758.html</t>
        </is>
      </c>
      <c r="AB199" t="n">
        <v>2</v>
      </c>
      <c r="AC199" t="inlineStr"/>
      <c r="AD199" t="inlineStr"/>
      <c r="AE199" t="inlineStr"/>
      <c r="AF199" t="inlineStr"/>
      <c r="AG199" t="inlineStr">
        <is>
          <t>dsuk/2024/chip-n-dale-new-years-eve-2024</t>
        </is>
      </c>
    </row>
    <row r="200">
      <c r="A200" t="inlineStr">
        <is>
          <t>PHS-0199</t>
        </is>
      </c>
      <c r="B200" t="inlineStr">
        <is>
          <t>Encanto Limited Edition Mystery Puzzle Pin</t>
        </is>
      </c>
      <c r="C200" t="inlineStr">
        <is>
          <t>Disney Store UK</t>
        </is>
      </c>
      <c r="D200" t="inlineStr"/>
      <c r="E200" t="inlineStr"/>
      <c r="G200" t="inlineStr"/>
      <c r="H200" t="inlineStr"/>
      <c r="I200" t="inlineStr">
        <is>
          <t>mystery puzzle-piece pins</t>
        </is>
      </c>
      <c r="J200" t="n">
        <v>1</v>
      </c>
      <c r="K200" t="b">
        <v>1</v>
      </c>
      <c r="L200" t="inlineStr">
        <is>
          <t>limited edition</t>
        </is>
      </c>
      <c r="M200" t="n">
        <v>600</v>
      </c>
      <c r="N200" t="n">
        <v>16</v>
      </c>
      <c r="O200" t="inlineStr">
        <is>
          <t>EUR</t>
        </is>
      </c>
      <c r="P200" t="inlineStr">
        <is>
          <t>438018033930</t>
        </is>
      </c>
      <c r="Q200" t="n">
        <v>12</v>
      </c>
      <c r="R200" t="n">
        <v>10</v>
      </c>
      <c r="S200">
        <f>IF(Q200="","",MAX(Q200-R200,0))</f>
        <v/>
      </c>
      <c r="T200" s="3">
        <f>IF(Q200="","",MIN(R200/Q200,1))</f>
        <v/>
      </c>
      <c r="U200" t="inlineStr">
        <is>
          <t>Alma; Antonio; Bruno; Camilo; Dolores; Isabela; Agustín; Julieta; Luisa; Mirabel; Félix; Pepa</t>
        </is>
      </c>
      <c r="V200" t="inlineStr"/>
      <c r="W200" t="inlineStr">
        <is>
          <t>evidenced</t>
        </is>
      </c>
      <c r="X200" t="inlineStr">
        <is>
          <t>Medium</t>
        </is>
      </c>
      <c r="Y200" t="inlineStr">
        <is>
          <t>https://www.disneystore.eu/encanto-limited-edition-mystery-puzzle-pin-438018033930.html</t>
        </is>
      </c>
      <c r="Z200" t="inlineStr">
        <is>
          <t>official</t>
        </is>
      </c>
      <c r="AA200" t="inlineStr">
        <is>
          <t>https://disneypinventory.com/view_item.php?itemID=39478</t>
        </is>
      </c>
      <c r="AB200" t="n">
        <v>2</v>
      </c>
      <c r="AC200" t="inlineStr"/>
      <c r="AD200" t="inlineStr"/>
      <c r="AE200" t="inlineStr"/>
      <c r="AF200" t="inlineStr"/>
      <c r="AG200" t="inlineStr">
        <is>
          <t>dsuk/2024/encanto-mystery-puzzle-pin</t>
        </is>
      </c>
    </row>
    <row r="201">
      <c r="A201" t="inlineStr">
        <is>
          <t>PHS-0200</t>
        </is>
      </c>
      <c r="B201" t="inlineStr">
        <is>
          <t>Anxiety Limited Release Pin, Inside Out 2</t>
        </is>
      </c>
      <c r="C201" t="inlineStr">
        <is>
          <t>Disney Store UK</t>
        </is>
      </c>
      <c r="D201" t="inlineStr"/>
      <c r="E201" t="inlineStr"/>
      <c r="G201" t="inlineStr"/>
      <c r="H201" t="inlineStr"/>
      <c r="I201" t="inlineStr"/>
      <c r="J201" t="inlineStr"/>
      <c r="K201" t="inlineStr"/>
      <c r="L201" t="inlineStr">
        <is>
          <t>limited release</t>
        </is>
      </c>
      <c r="M201" t="inlineStr"/>
      <c r="N201" t="n">
        <v>14</v>
      </c>
      <c r="O201" t="inlineStr">
        <is>
          <t>GBP</t>
        </is>
      </c>
      <c r="P201" t="inlineStr">
        <is>
          <t>438017778788</t>
        </is>
      </c>
      <c r="Q201" t="n">
        <v>1</v>
      </c>
      <c r="R201" t="n">
        <v>1</v>
      </c>
      <c r="S201">
        <f>IF(Q201="","",MAX(Q201-R201,0))</f>
        <v/>
      </c>
      <c r="T201" s="3">
        <f>IF(Q201="","",MIN(R201/Q201,1))</f>
        <v/>
      </c>
      <c r="U201" t="inlineStr">
        <is>
          <t>Anxiety</t>
        </is>
      </c>
      <c r="V201" t="inlineStr"/>
      <c r="W201" t="inlineStr">
        <is>
          <t>evidenced</t>
        </is>
      </c>
      <c r="X201" t="inlineStr">
        <is>
          <t>Medium</t>
        </is>
      </c>
      <c r="Y201" t="inlineStr">
        <is>
          <t>https://www.disneystore.co.uk/anxiety-limited-release-pin-inside-out-2-438017778788.html</t>
        </is>
      </c>
      <c r="Z201" t="inlineStr">
        <is>
          <t>official</t>
        </is>
      </c>
      <c r="AA201" t="inlineStr">
        <is>
          <t>https://www.disneystore.eu/anxiety-limited-release-pin-inside-out-2-438017778788.html</t>
        </is>
      </c>
      <c r="AB201" t="n">
        <v>2</v>
      </c>
      <c r="AC201" t="inlineStr"/>
      <c r="AD201" t="inlineStr"/>
      <c r="AE201" t="inlineStr"/>
      <c r="AF201" t="inlineStr"/>
      <c r="AG201" t="inlineStr">
        <is>
          <t>dsuk/2024/inside-out-2-anxiety</t>
        </is>
      </c>
    </row>
    <row r="202">
      <c r="A202" t="inlineStr">
        <is>
          <t>PHS-0201</t>
        </is>
      </c>
      <c r="B202" t="inlineStr">
        <is>
          <t>Inside Out 2 Current Mood Limited Release Spinner Pin</t>
        </is>
      </c>
      <c r="C202" t="inlineStr">
        <is>
          <t>Disney Store UK</t>
        </is>
      </c>
      <c r="D202" t="inlineStr"/>
      <c r="E202" t="inlineStr"/>
      <c r="G202" t="inlineStr"/>
      <c r="H202" t="inlineStr"/>
      <c r="I202" t="inlineStr"/>
      <c r="J202" t="inlineStr"/>
      <c r="K202" t="inlineStr"/>
      <c r="L202" t="inlineStr">
        <is>
          <t>limited release</t>
        </is>
      </c>
      <c r="M202" t="inlineStr"/>
      <c r="N202" t="n">
        <v>14</v>
      </c>
      <c r="O202" t="inlineStr">
        <is>
          <t>GBP</t>
        </is>
      </c>
      <c r="P202" t="inlineStr">
        <is>
          <t>438017778948</t>
        </is>
      </c>
      <c r="Q202" t="n">
        <v>1</v>
      </c>
      <c r="R202" t="n">
        <v>1</v>
      </c>
      <c r="S202">
        <f>IF(Q202="","",MAX(Q202-R202,0))</f>
        <v/>
      </c>
      <c r="T202" s="3">
        <f>IF(Q202="","",MIN(R202/Q202,1))</f>
        <v/>
      </c>
      <c r="U202" t="inlineStr">
        <is>
          <t>Anger; Anxiety; Fear; Joy</t>
        </is>
      </c>
      <c r="V202" t="inlineStr"/>
      <c r="W202" t="inlineStr">
        <is>
          <t>evidenced</t>
        </is>
      </c>
      <c r="X202" t="inlineStr">
        <is>
          <t>Medium</t>
        </is>
      </c>
      <c r="Y202" t="inlineStr">
        <is>
          <t>https://www.disneystore.co.uk/inside-out-2-current-mood-limited-release-spinner-pin-438017778948.html</t>
        </is>
      </c>
      <c r="Z202" t="inlineStr">
        <is>
          <t>official</t>
        </is>
      </c>
      <c r="AA202" t="inlineStr">
        <is>
          <t>https://www.disneystore.eu/inside-out-2-current-mood-limited-release-spinner-pin-438017778948.html</t>
        </is>
      </c>
      <c r="AB202" t="n">
        <v>2</v>
      </c>
      <c r="AC202" t="inlineStr"/>
      <c r="AD202" t="inlineStr"/>
      <c r="AE202" t="inlineStr"/>
      <c r="AF202" t="inlineStr"/>
      <c r="AG202" t="inlineStr">
        <is>
          <t>dsuk/2024/inside-out-2-current-mood-spinner</t>
        </is>
      </c>
    </row>
    <row r="203">
      <c r="A203" t="inlineStr">
        <is>
          <t>PHS-0202</t>
        </is>
      </c>
      <c r="B203" t="inlineStr">
        <is>
          <t>Moana, Simea, Pua and Hei Hei Limited Release Pin, Moana 2</t>
        </is>
      </c>
      <c r="C203" t="inlineStr">
        <is>
          <t>Disney Store UK</t>
        </is>
      </c>
      <c r="D203" t="inlineStr"/>
      <c r="E203" t="inlineStr"/>
      <c r="G203" t="inlineStr"/>
      <c r="H203" t="inlineStr"/>
      <c r="I203" t="inlineStr"/>
      <c r="J203" t="inlineStr"/>
      <c r="K203" t="inlineStr"/>
      <c r="L203" t="inlineStr">
        <is>
          <t>limited release</t>
        </is>
      </c>
      <c r="M203" t="inlineStr"/>
      <c r="N203" t="n">
        <v>14</v>
      </c>
      <c r="O203" t="inlineStr">
        <is>
          <t>GBP</t>
        </is>
      </c>
      <c r="P203" t="inlineStr">
        <is>
          <t>438018112550</t>
        </is>
      </c>
      <c r="Q203" t="n">
        <v>1</v>
      </c>
      <c r="R203" t="n">
        <v>1</v>
      </c>
      <c r="S203">
        <f>IF(Q203="","",MAX(Q203-R203,0))</f>
        <v/>
      </c>
      <c r="T203" s="3">
        <f>IF(Q203="","",MIN(R203/Q203,1))</f>
        <v/>
      </c>
      <c r="U203" t="inlineStr">
        <is>
          <t>Hei Hei; Moana; Pua; Simea</t>
        </is>
      </c>
      <c r="V203" t="inlineStr"/>
      <c r="W203" t="inlineStr">
        <is>
          <t>evidenced</t>
        </is>
      </c>
      <c r="X203" t="inlineStr">
        <is>
          <t>Medium</t>
        </is>
      </c>
      <c r="Y203" t="inlineStr">
        <is>
          <t>https://www.disneystore.co.uk/moana-simea-pua-and-hei-hei-limited-release-pin-moana-2-438018112550.html</t>
        </is>
      </c>
      <c r="Z203" t="inlineStr">
        <is>
          <t>official</t>
        </is>
      </c>
      <c r="AA203" t="inlineStr">
        <is>
          <t>https://disneypinventory.com/view_item.php?itemID=39787</t>
        </is>
      </c>
      <c r="AB203" t="n">
        <v>4</v>
      </c>
      <c r="AC203" t="inlineStr"/>
      <c r="AD203" t="inlineStr"/>
      <c r="AE203" t="inlineStr"/>
      <c r="AF203" t="inlineStr"/>
      <c r="AG203" t="inlineStr">
        <is>
          <t>dsuk/2024/moana-2-moana-simea-pua-heihei</t>
        </is>
      </c>
    </row>
    <row r="204">
      <c r="A204" t="inlineStr">
        <is>
          <t>PHS-0203</t>
        </is>
      </c>
      <c r="B204" t="inlineStr">
        <is>
          <t>The Muppets Haunted Mansion Puzzle Piece Limited Edition Mystery Pin</t>
        </is>
      </c>
      <c r="C204" t="inlineStr">
        <is>
          <t>Disney Store UK</t>
        </is>
      </c>
      <c r="D204" t="inlineStr"/>
      <c r="E204" t="inlineStr"/>
      <c r="G204" t="inlineStr"/>
      <c r="H204" t="inlineStr"/>
      <c r="I204" t="inlineStr">
        <is>
          <t>blind pack mystery puzzle-piece pins</t>
        </is>
      </c>
      <c r="J204" t="n">
        <v>1</v>
      </c>
      <c r="K204" t="b">
        <v>1</v>
      </c>
      <c r="L204" t="inlineStr">
        <is>
          <t>limited edition</t>
        </is>
      </c>
      <c r="M204" t="inlineStr"/>
      <c r="N204" t="inlineStr">
        <is>
          <t>UK: 14 | EU: 16</t>
        </is>
      </c>
      <c r="O204" t="inlineStr">
        <is>
          <t>GBP</t>
        </is>
      </c>
      <c r="P204" t="inlineStr">
        <is>
          <t>438017894693</t>
        </is>
      </c>
      <c r="Q204" t="n">
        <v>12</v>
      </c>
      <c r="R204" t="n">
        <v>10</v>
      </c>
      <c r="S204">
        <f>IF(Q204="","",MAX(Q204-R204,0))</f>
        <v/>
      </c>
      <c r="T204" s="3">
        <f>IF(Q204="","",MIN(R204/Q204,1))</f>
        <v/>
      </c>
      <c r="U204" t="inlineStr">
        <is>
          <t>Beaker; Dr. Bunsen Honeydew; The Chickens; The Electric Mayhem; Fozzie Bear; Gonzo; Pepe; Haunted Mansion Exterior; Kermit the Frog; Miss Piggy; Rowlf; Pops; Sam Eagle; Statler; Waldorf</t>
        </is>
      </c>
      <c r="V204" t="inlineStr"/>
      <c r="W204" t="inlineStr">
        <is>
          <t>evidenced</t>
        </is>
      </c>
      <c r="X204" t="inlineStr">
        <is>
          <t>Medium</t>
        </is>
      </c>
      <c r="Y204" t="inlineStr">
        <is>
          <t>https://www.disneystore.co.uk/the-muppets-haunted-mansion-puzzle-piece-limited-edition-mystery-pin-438017894693.html</t>
        </is>
      </c>
      <c r="Z204" t="inlineStr">
        <is>
          <t>official</t>
        </is>
      </c>
      <c r="AA204" t="inlineStr">
        <is>
          <t>https://www.disneystore.eu/the-muppets-haunted-mansion-puzzle-piece-limited-edition-mystery-pin-438017894693.html</t>
        </is>
      </c>
      <c r="AB204" t="n">
        <v>3</v>
      </c>
      <c r="AC204" t="inlineStr"/>
      <c r="AD204" t="inlineStr"/>
      <c r="AE204" t="inlineStr"/>
      <c r="AF204" t="inlineStr"/>
      <c r="AG204" t="inlineStr">
        <is>
          <t>dsuk/2024/muppets-haunted-mansion-mystery-puzzle-pin</t>
        </is>
      </c>
    </row>
    <row r="205">
      <c r="A205" t="inlineStr">
        <is>
          <t>PHS-0204</t>
        </is>
      </c>
      <c r="B205" t="inlineStr">
        <is>
          <t>Santa Mickey Mouse Limited Edition Festive Pin 2024</t>
        </is>
      </c>
      <c r="C205" t="inlineStr">
        <is>
          <t>Disney Store UK</t>
        </is>
      </c>
      <c r="D205" t="inlineStr"/>
      <c r="E205" t="inlineStr"/>
      <c r="G205" t="inlineStr">
        <is>
          <t>Mickey Mouse Family Christmas Collection</t>
        </is>
      </c>
      <c r="H205" t="inlineStr"/>
      <c r="I205" t="inlineStr"/>
      <c r="J205" t="inlineStr"/>
      <c r="K205" t="inlineStr"/>
      <c r="L205" t="inlineStr">
        <is>
          <t>limited edition</t>
        </is>
      </c>
      <c r="M205" t="n">
        <v>4500</v>
      </c>
      <c r="N205" t="n">
        <v>16</v>
      </c>
      <c r="O205" t="inlineStr">
        <is>
          <t>GBP</t>
        </is>
      </c>
      <c r="P205" t="inlineStr">
        <is>
          <t>438038039301</t>
        </is>
      </c>
      <c r="Q205" t="n">
        <v>1</v>
      </c>
      <c r="R205" t="n">
        <v>1</v>
      </c>
      <c r="S205">
        <f>IF(Q205="","",MAX(Q205-R205,0))</f>
        <v/>
      </c>
      <c r="T205" s="3">
        <f>IF(Q205="","",MIN(R205/Q205,1))</f>
        <v/>
      </c>
      <c r="U205" t="inlineStr">
        <is>
          <t>Mickey Mouse</t>
        </is>
      </c>
      <c r="V205" t="inlineStr"/>
      <c r="W205" t="inlineStr">
        <is>
          <t>evidenced</t>
        </is>
      </c>
      <c r="X205" t="inlineStr">
        <is>
          <t>Medium</t>
        </is>
      </c>
      <c r="Y205" t="inlineStr">
        <is>
          <t>https://www.disneystore.co.uk/santa-mickey-mouse-limited-edition-festive-pin-2024-438038039301.html</t>
        </is>
      </c>
      <c r="Z205" t="inlineStr">
        <is>
          <t>official</t>
        </is>
      </c>
      <c r="AA205" t="inlineStr">
        <is>
          <t>https://disneypinsblog.com/santa-mickey-mouse-holiday-2024-pin-at-disney-store/</t>
        </is>
      </c>
      <c r="AB205" t="n">
        <v>2</v>
      </c>
      <c r="AC205" t="inlineStr"/>
      <c r="AD205" t="inlineStr"/>
      <c r="AE205" t="inlineStr"/>
      <c r="AF205" t="inlineStr"/>
      <c r="AG205" t="inlineStr">
        <is>
          <t>dsuk/2024/santa-mickey-mouse-festive-pin-2024</t>
        </is>
      </c>
    </row>
    <row r="206">
      <c r="A206" t="inlineStr">
        <is>
          <t>PHS-0205</t>
        </is>
      </c>
      <c r="B206" t="inlineStr">
        <is>
          <t>Donald Duck St. Patrick's Day 2024 Limited Release Pin</t>
        </is>
      </c>
      <c r="C206" t="inlineStr">
        <is>
          <t>Disney Store UK</t>
        </is>
      </c>
      <c r="D206" t="inlineStr"/>
      <c r="E206" t="inlineStr"/>
      <c r="G206" t="inlineStr"/>
      <c r="H206" t="inlineStr"/>
      <c r="I206" t="inlineStr"/>
      <c r="J206" t="inlineStr"/>
      <c r="K206" t="inlineStr"/>
      <c r="L206" t="inlineStr">
        <is>
          <t>limited release</t>
        </is>
      </c>
      <c r="M206" t="inlineStr"/>
      <c r="N206" t="inlineStr">
        <is>
          <t>UK: 5.99 | EU: 7</t>
        </is>
      </c>
      <c r="O206" t="inlineStr">
        <is>
          <t>GBP</t>
        </is>
      </c>
      <c r="P206" t="inlineStr">
        <is>
          <t>438017643550</t>
        </is>
      </c>
      <c r="Q206" t="n">
        <v>1</v>
      </c>
      <c r="R206" t="n">
        <v>1</v>
      </c>
      <c r="S206">
        <f>IF(Q206="","",MAX(Q206-R206,0))</f>
        <v/>
      </c>
      <c r="T206" s="3">
        <f>IF(Q206="","",MIN(R206/Q206,1))</f>
        <v/>
      </c>
      <c r="U206" t="inlineStr">
        <is>
          <t>Donald Duck</t>
        </is>
      </c>
      <c r="V206" t="inlineStr"/>
      <c r="W206" t="inlineStr">
        <is>
          <t>evidenced</t>
        </is>
      </c>
      <c r="X206" t="inlineStr">
        <is>
          <t>Medium</t>
        </is>
      </c>
      <c r="Y206" t="inlineStr">
        <is>
          <t>https://www.disneystore.co.uk/donald-duck-st.-patricks-day-2024-limited-release-pin-438017643550.html</t>
        </is>
      </c>
      <c r="Z206" t="inlineStr">
        <is>
          <t>official</t>
        </is>
      </c>
      <c r="AA206" t="inlineStr">
        <is>
          <t>https://www.disneystore.eu/donald-duck-st.-patricks-day-2024-limited-release-pin-438017643550.html</t>
        </is>
      </c>
      <c r="AB206" t="n">
        <v>2</v>
      </c>
      <c r="AC206" t="inlineStr"/>
      <c r="AD206" t="inlineStr"/>
      <c r="AE206" t="inlineStr"/>
      <c r="AF206" t="inlineStr"/>
      <c r="AG206" t="inlineStr">
        <is>
          <t>dsuk/2024/st-patricks-day-2024-donald</t>
        </is>
      </c>
    </row>
    <row r="207">
      <c r="A207" t="inlineStr">
        <is>
          <t>PHS-0206</t>
        </is>
      </c>
      <c r="B207" t="inlineStr">
        <is>
          <t>Walt Disney and Mickey Mouse Limited Release Pin, Walt Disney Day 2024</t>
        </is>
      </c>
      <c r="C207" t="inlineStr">
        <is>
          <t>Disney Store UK</t>
        </is>
      </c>
      <c r="D207" t="inlineStr"/>
      <c r="E207" t="inlineStr"/>
      <c r="G207" t="inlineStr"/>
      <c r="H207" t="inlineStr"/>
      <c r="I207" t="inlineStr"/>
      <c r="J207" t="inlineStr"/>
      <c r="K207" t="inlineStr"/>
      <c r="L207" t="inlineStr">
        <is>
          <t>limited release</t>
        </is>
      </c>
      <c r="M207" t="inlineStr"/>
      <c r="N207" t="inlineStr">
        <is>
          <t>UK: 16 | EU: 18</t>
        </is>
      </c>
      <c r="O207" t="inlineStr">
        <is>
          <t>UK: GBP | EU: EUR</t>
        </is>
      </c>
      <c r="P207" t="inlineStr">
        <is>
          <t>438018126427</t>
        </is>
      </c>
      <c r="Q207" t="n">
        <v>1</v>
      </c>
      <c r="R207" t="n">
        <v>1</v>
      </c>
      <c r="S207">
        <f>IF(Q207="","",MAX(Q207-R207,0))</f>
        <v/>
      </c>
      <c r="T207" s="3">
        <f>IF(Q207="","",MIN(R207/Q207,1))</f>
        <v/>
      </c>
      <c r="U207" t="inlineStr">
        <is>
          <t>Mickey Mouse; Walt Disney</t>
        </is>
      </c>
      <c r="V207" t="inlineStr"/>
      <c r="W207" t="inlineStr">
        <is>
          <t>evidenced</t>
        </is>
      </c>
      <c r="X207" t="inlineStr">
        <is>
          <t>Medium</t>
        </is>
      </c>
      <c r="Y207" t="inlineStr">
        <is>
          <t>https://www.disneystore.co.uk/walt-disney-and-mickey-mouse-limited-release-pin-walt-disney-day-2024-438018126427.html</t>
        </is>
      </c>
      <c r="Z207" t="inlineStr">
        <is>
          <t>official</t>
        </is>
      </c>
      <c r="AA207" t="inlineStr">
        <is>
          <t>https://www.disneystore.eu/walt-disney-and-mickey-mouse-limited-release-pin-walt-disney-day-2024-438018126427.html</t>
        </is>
      </c>
      <c r="AB207" t="n">
        <v>2</v>
      </c>
      <c r="AC207" t="inlineStr"/>
      <c r="AD207" t="inlineStr"/>
      <c r="AE207" t="inlineStr"/>
      <c r="AF207" t="inlineStr"/>
      <c r="AG207" t="inlineStr">
        <is>
          <t>dsuk/2024/walt-disney-day-2024</t>
        </is>
      </c>
    </row>
    <row r="208">
      <c r="A208" t="inlineStr">
        <is>
          <t>PHS-0207</t>
        </is>
      </c>
      <c r="B208" t="inlineStr">
        <is>
          <t>'Happily Ever After' Limited Edition Slider Pin series</t>
        </is>
      </c>
      <c r="C208" t="inlineStr">
        <is>
          <t>Disney Store UK</t>
        </is>
      </c>
      <c r="D208" t="inlineStr"/>
      <c r="E208" t="inlineStr"/>
      <c r="G208" t="inlineStr">
        <is>
          <t>Disney Pins 25</t>
        </is>
      </c>
      <c r="H208" t="inlineStr"/>
      <c r="I208" t="inlineStr">
        <is>
          <t>single slider pins released individually as a numbered series</t>
        </is>
      </c>
      <c r="J208" t="inlineStr"/>
      <c r="K208" t="inlineStr"/>
      <c r="L208" t="inlineStr">
        <is>
          <t>limited edition</t>
        </is>
      </c>
      <c r="M208" t="inlineStr"/>
      <c r="N208" t="n">
        <v>14</v>
      </c>
      <c r="O208" t="inlineStr">
        <is>
          <t>GBP</t>
        </is>
      </c>
      <c r="P208" t="inlineStr"/>
      <c r="Q208" t="n">
        <v>12</v>
      </c>
      <c r="R208" t="n">
        <v>11</v>
      </c>
      <c r="S208">
        <f>IF(Q208="","",MAX(Q208-R208,0))</f>
        <v/>
      </c>
      <c r="T208" s="3">
        <f>IF(Q208="","",MIN(R208/Q208,1))</f>
        <v/>
      </c>
      <c r="U208" t="inlineStr">
        <is>
          <t>Aladdin 'Happily Ever After' Limited Edition Slider Pin; Beauty and the Beast 'Happily Ever After' Limited Edition Slider Pin; Hercules 'Happily Ever After' Limited Edition Slider Pin; Lady and the Tramp Happily Ever After Limited Edition Slider Pin, 8 of 12; Mickey Mouse and Friends Happily Ever After Pin; Robin Hood 'Happily Ever After' Limited Edition Slider Pin; Sleeping Beauty 'Happily Ever After' Limited Edition Slider Pin; Snow White and the Seven Dwarfs 'Happily Ever After' Slider Pin; The Lion King 'Happily Ever After' Limited Edition Slider Pin; Animal; Beaker; Dr. Bunsen Honeydew; Fozzie Bear; Kermit the Frog; Miss Piggy; The Princess and the Frog 'Happily Ever After' Limited Edition Slider Pin</t>
        </is>
      </c>
      <c r="V208" t="inlineStr"/>
      <c r="W208" t="inlineStr">
        <is>
          <t>evidenced</t>
        </is>
      </c>
      <c r="X208" t="inlineStr">
        <is>
          <t>Medium</t>
        </is>
      </c>
      <c r="Y208" t="inlineStr">
        <is>
          <t>https://www.disneystore.co.uk/aladdin-happily-ever-after-limited-edition-slider-pin-5-of-12-438019572490.html</t>
        </is>
      </c>
      <c r="Z208" t="inlineStr">
        <is>
          <t>official</t>
        </is>
      </c>
      <c r="AA208" t="inlineStr">
        <is>
          <t>https://www.disneystore.co.uk/beauty-and-the-beast-happily-ever-after-limited-edition-slider-pin-4-of-12-438019582055.html</t>
        </is>
      </c>
      <c r="AB208" t="n">
        <v>7</v>
      </c>
      <c r="AC208" t="inlineStr"/>
      <c r="AD208" t="inlineStr"/>
      <c r="AE208" t="inlineStr"/>
      <c r="AF208" t="inlineStr"/>
      <c r="AG208" t="inlineStr">
        <is>
          <t>dsuk/2025/happily-ever-after-slider-series</t>
        </is>
      </c>
    </row>
    <row r="209">
      <c r="A209" t="inlineStr">
        <is>
          <t>PHS-0208</t>
        </is>
      </c>
      <c r="B209" t="inlineStr">
        <is>
          <t>Kanga and Roo Mother's Day 2025 Limited Edition Pin</t>
        </is>
      </c>
      <c r="C209" t="inlineStr">
        <is>
          <t>Disney Store UK</t>
        </is>
      </c>
      <c r="D209" t="inlineStr"/>
      <c r="E209" t="inlineStr"/>
      <c r="G209" t="inlineStr"/>
      <c r="H209" t="inlineStr"/>
      <c r="I209" t="inlineStr"/>
      <c r="J209" t="inlineStr"/>
      <c r="K209" t="inlineStr"/>
      <c r="L209" t="inlineStr">
        <is>
          <t>limited edition</t>
        </is>
      </c>
      <c r="M209" t="n">
        <v>500</v>
      </c>
      <c r="N209" t="n">
        <v>14</v>
      </c>
      <c r="O209" t="inlineStr">
        <is>
          <t>UK: GBP | EU: EUR</t>
        </is>
      </c>
      <c r="P209" t="inlineStr">
        <is>
          <t>438018204620</t>
        </is>
      </c>
      <c r="Q209" t="n">
        <v>1</v>
      </c>
      <c r="R209" t="n">
        <v>1</v>
      </c>
      <c r="S209">
        <f>IF(Q209="","",MAX(Q209-R209,0))</f>
        <v/>
      </c>
      <c r="T209" s="3">
        <f>IF(Q209="","",MIN(R209/Q209,1))</f>
        <v/>
      </c>
      <c r="U209" t="inlineStr">
        <is>
          <t>Kanga; Roo</t>
        </is>
      </c>
      <c r="V209" t="inlineStr"/>
      <c r="W209" t="inlineStr">
        <is>
          <t>evidenced</t>
        </is>
      </c>
      <c r="X209" t="inlineStr">
        <is>
          <t>Medium</t>
        </is>
      </c>
      <c r="Y209" t="inlineStr">
        <is>
          <t>https://www.disneystore.co.uk/kanga-and-roo-mothers-day-2025-limited-edition-pin-winnie-the-pooh-438018204620.html</t>
        </is>
      </c>
      <c r="Z209" t="inlineStr">
        <is>
          <t>official</t>
        </is>
      </c>
      <c r="AA209" t="inlineStr">
        <is>
          <t>https://www.disneystore.eu/kanga-and-roo-mothers-day-2025-limited-edition-pin-winnie-the-pooh-438018204620.html</t>
        </is>
      </c>
      <c r="AB209" t="n">
        <v>3</v>
      </c>
      <c r="AC209" t="inlineStr"/>
      <c r="AD209" t="inlineStr"/>
      <c r="AE209" t="inlineStr"/>
      <c r="AF209" t="inlineStr"/>
      <c r="AG209" t="inlineStr">
        <is>
          <t>dsuk/2025/kanga-and-roo-mothers-day-2025</t>
        </is>
      </c>
    </row>
    <row r="210">
      <c r="A210" t="inlineStr">
        <is>
          <t>PHS-0209</t>
        </is>
      </c>
      <c r="B210" t="inlineStr">
        <is>
          <t>Stitch St. Patrick's Day 2025 Limited Release Slider Pin</t>
        </is>
      </c>
      <c r="C210" t="inlineStr">
        <is>
          <t>Disney Store UK</t>
        </is>
      </c>
      <c r="D210" t="inlineStr"/>
      <c r="E210" t="inlineStr"/>
      <c r="G210" t="inlineStr"/>
      <c r="H210" t="inlineStr"/>
      <c r="I210" t="inlineStr"/>
      <c r="J210" t="inlineStr"/>
      <c r="K210" t="inlineStr"/>
      <c r="L210" t="inlineStr">
        <is>
          <t>limited release</t>
        </is>
      </c>
      <c r="M210" t="inlineStr"/>
      <c r="N210" t="n">
        <v>14</v>
      </c>
      <c r="O210" t="inlineStr">
        <is>
          <t>GBP</t>
        </is>
      </c>
      <c r="P210" t="inlineStr">
        <is>
          <t>438018203715</t>
        </is>
      </c>
      <c r="Q210" t="n">
        <v>1</v>
      </c>
      <c r="R210" t="n">
        <v>1</v>
      </c>
      <c r="S210">
        <f>IF(Q210="","",MAX(Q210-R210,0))</f>
        <v/>
      </c>
      <c r="T210" s="3">
        <f>IF(Q210="","",MIN(R210/Q210,1))</f>
        <v/>
      </c>
      <c r="U210" t="inlineStr">
        <is>
          <t>Stitch</t>
        </is>
      </c>
      <c r="V210" t="inlineStr"/>
      <c r="W210" t="inlineStr">
        <is>
          <t>evidenced</t>
        </is>
      </c>
      <c r="X210" t="inlineStr">
        <is>
          <t>Medium</t>
        </is>
      </c>
      <c r="Y210" t="inlineStr">
        <is>
          <t>https://www.disneystore.co.uk/stitch-st.-patricks-day-2025-limited-release-slider-pin-lilo-and-stitch-438018203715.html</t>
        </is>
      </c>
      <c r="Z210" t="inlineStr">
        <is>
          <t>official</t>
        </is>
      </c>
      <c r="AA210" t="inlineStr">
        <is>
          <t>https://www.disneystore.com/stitch-st.-patricks-day-2025-slider-pin-lilo-stitch-limited-release-438013644902.html</t>
        </is>
      </c>
      <c r="AB210" t="n">
        <v>4</v>
      </c>
      <c r="AC210" t="inlineStr"/>
      <c r="AD210" t="inlineStr"/>
      <c r="AE210" t="inlineStr"/>
      <c r="AF210" t="inlineStr"/>
      <c r="AG210" t="inlineStr">
        <is>
          <t>dsuk/2025/stitch-st-patricks-day-2025-slider</t>
        </is>
      </c>
    </row>
    <row r="211">
      <c r="A211" t="inlineStr">
        <is>
          <t>PHS-0210</t>
        </is>
      </c>
      <c r="B211" t="inlineStr">
        <is>
          <t>Toy Story 30th Anniversary Limited Edition Pin Set</t>
        </is>
      </c>
      <c r="C211" t="inlineStr">
        <is>
          <t>Disney Store UK</t>
        </is>
      </c>
      <c r="D211" t="inlineStr"/>
      <c r="E211" t="inlineStr"/>
      <c r="G211" t="inlineStr"/>
      <c r="H211" t="inlineStr"/>
      <c r="I211" t="inlineStr">
        <is>
          <t>3-pin set in window box with Andy's room backdrop</t>
        </is>
      </c>
      <c r="J211" t="inlineStr"/>
      <c r="K211" t="inlineStr"/>
      <c r="L211" t="inlineStr">
        <is>
          <t>limited edition</t>
        </is>
      </c>
      <c r="M211" t="n">
        <v>1965</v>
      </c>
      <c r="N211" t="n">
        <v>40</v>
      </c>
      <c r="O211" t="inlineStr">
        <is>
          <t>GBP</t>
        </is>
      </c>
      <c r="P211" t="inlineStr">
        <is>
          <t>438010169873</t>
        </is>
      </c>
      <c r="Q211" t="n">
        <v>3</v>
      </c>
      <c r="R211" t="n">
        <v>3</v>
      </c>
      <c r="S211">
        <f>IF(Q211="","",MAX(Q211-R211,0))</f>
        <v/>
      </c>
      <c r="T211" s="3">
        <f>IF(Q211="","",MIN(R211/Q211,1))</f>
        <v/>
      </c>
      <c r="U211" t="inlineStr">
        <is>
          <t>Hamm; Rex; Woody</t>
        </is>
      </c>
      <c r="V211" t="inlineStr"/>
      <c r="W211" t="inlineStr">
        <is>
          <t>evidenced</t>
        </is>
      </c>
      <c r="X211" t="inlineStr">
        <is>
          <t>Medium</t>
        </is>
      </c>
      <c r="Y211" t="inlineStr">
        <is>
          <t>https://www.disneystore.co.uk/toy-story-30th-anniversary-limited-edition-pin-set-438010169873.html</t>
        </is>
      </c>
      <c r="Z211" t="inlineStr">
        <is>
          <t>official</t>
        </is>
      </c>
      <c r="AA211" t="inlineStr">
        <is>
          <t>https://www.disneystore.eu/toy-story-30th-anniversary-limited-edition-pin-set-438010169873.html</t>
        </is>
      </c>
      <c r="AB211" t="n">
        <v>2</v>
      </c>
      <c r="AC211" t="inlineStr"/>
      <c r="AD211" t="inlineStr"/>
      <c r="AE211" t="inlineStr"/>
      <c r="AF211" t="inlineStr"/>
      <c r="AG211" t="inlineStr">
        <is>
          <t>dsuk/2025/toy-story-30th-anniversary-le-pin-set</t>
        </is>
      </c>
    </row>
    <row r="212">
      <c r="A212" t="inlineStr">
        <is>
          <t>PHS-0211</t>
        </is>
      </c>
      <c r="B212" t="inlineStr">
        <is>
          <t>Toys Story 30th Anniversary Limited Release Pin</t>
        </is>
      </c>
      <c r="C212" t="inlineStr">
        <is>
          <t>Disney Store UK</t>
        </is>
      </c>
      <c r="D212" t="inlineStr"/>
      <c r="E212" t="inlineStr"/>
      <c r="G212" t="inlineStr"/>
      <c r="H212" t="inlineStr"/>
      <c r="I212" t="inlineStr"/>
      <c r="J212" t="inlineStr"/>
      <c r="K212" t="inlineStr"/>
      <c r="L212" t="inlineStr">
        <is>
          <t>limited release</t>
        </is>
      </c>
      <c r="M212" t="inlineStr"/>
      <c r="N212" t="n">
        <v>14</v>
      </c>
      <c r="O212" t="inlineStr">
        <is>
          <t>GBP</t>
        </is>
      </c>
      <c r="P212" t="inlineStr">
        <is>
          <t>438010169613</t>
        </is>
      </c>
      <c r="Q212" t="n">
        <v>1</v>
      </c>
      <c r="R212" t="n">
        <v>1</v>
      </c>
      <c r="S212">
        <f>IF(Q212="","",MAX(Q212-R212,0))</f>
        <v/>
      </c>
      <c r="T212" s="3">
        <f>IF(Q212="","",MIN(R212/Q212,1))</f>
        <v/>
      </c>
      <c r="U212" t="inlineStr">
        <is>
          <t>Lenny; Rex; Slinky Dog; Woody</t>
        </is>
      </c>
      <c r="V212" t="inlineStr"/>
      <c r="W212" t="inlineStr">
        <is>
          <t>evidenced</t>
        </is>
      </c>
      <c r="X212" t="inlineStr">
        <is>
          <t>Medium</t>
        </is>
      </c>
      <c r="Y212" t="inlineStr">
        <is>
          <t>https://www.disneystore.co.uk/toys-story-30th-anniversary-limited-release-pin-438010169613.html</t>
        </is>
      </c>
      <c r="Z212" t="inlineStr">
        <is>
          <t>official</t>
        </is>
      </c>
      <c r="AA212" t="inlineStr">
        <is>
          <t>https://www.disneystore.eu/toys-story-30th-anniversary-limited-release-pin-438010169613.html</t>
        </is>
      </c>
      <c r="AB212" t="n">
        <v>2</v>
      </c>
      <c r="AC212" t="inlineStr"/>
      <c r="AD212" t="inlineStr"/>
      <c r="AE212" t="inlineStr"/>
      <c r="AF212" t="inlineStr"/>
      <c r="AG212" t="inlineStr">
        <is>
          <t>dsuk/2025/toy-story-30th-anniversary-lr-pin</t>
        </is>
      </c>
    </row>
    <row r="213">
      <c r="A213" t="inlineStr">
        <is>
          <t>PHS-0212</t>
        </is>
      </c>
      <c r="B213" t="inlineStr">
        <is>
          <t>Valentine's Day Limited Release Mystery Pin Set</t>
        </is>
      </c>
      <c r="C213" t="inlineStr">
        <is>
          <t>Disney Store UK</t>
        </is>
      </c>
      <c r="D213" t="inlineStr"/>
      <c r="E213" t="inlineStr"/>
      <c r="G213" t="inlineStr"/>
      <c r="H213" t="inlineStr"/>
      <c r="I213" t="inlineStr">
        <is>
          <t>mystery box, 2 random pins of 10</t>
        </is>
      </c>
      <c r="J213" t="n">
        <v>2</v>
      </c>
      <c r="K213" t="inlineStr"/>
      <c r="L213" t="inlineStr">
        <is>
          <t>limited release</t>
        </is>
      </c>
      <c r="M213" t="inlineStr"/>
      <c r="N213" t="n">
        <v>25</v>
      </c>
      <c r="O213" t="inlineStr">
        <is>
          <t>GBP</t>
        </is>
      </c>
      <c r="P213" t="inlineStr">
        <is>
          <t>438010543840</t>
        </is>
      </c>
      <c r="Q213" t="n">
        <v>10</v>
      </c>
      <c r="R213" t="n">
        <v>10</v>
      </c>
      <c r="S213">
        <f>IF(Q213="","",MAX(Q213-R213,0))</f>
        <v/>
      </c>
      <c r="T213" s="3">
        <f>IF(Q213="","",MIN(R213/Q213,1))</f>
        <v/>
      </c>
      <c r="U213" t="inlineStr">
        <is>
          <t>Baymax; Fozzie Bear; Genie; Hercules; Lucky; Mad Hatter; Marie; Powerline; Stitch; Winnie the Pooh</t>
        </is>
      </c>
      <c r="V213" t="inlineStr"/>
      <c r="W213" t="inlineStr">
        <is>
          <t>evidenced (held)</t>
        </is>
      </c>
      <c r="X213" t="inlineStr">
        <is>
          <t>Medium</t>
        </is>
      </c>
      <c r="Y213" t="inlineStr">
        <is>
          <t>https://www.disneystore.co.uk/valentines-day-limited-release-mystery-pin-set-438010543840.html</t>
        </is>
      </c>
      <c r="Z213" t="inlineStr">
        <is>
          <t>official</t>
        </is>
      </c>
      <c r="AA213" t="inlineStr">
        <is>
          <t>https://www.disneystore.com.au/disney-valentines-day-2026-mystery-2-piece-pin-blind-pack-438010543840.html</t>
        </is>
      </c>
      <c r="AB213" t="n">
        <v>5</v>
      </c>
      <c r="AC213" t="inlineStr"/>
      <c r="AD213" t="inlineStr"/>
      <c r="AE213" t="inlineStr"/>
      <c r="AF213" t="inlineStr"/>
      <c r="AG213" t="inlineStr">
        <is>
          <t>dsuk/2026/valentines-day-2026-mystery-set</t>
        </is>
      </c>
    </row>
    <row r="214">
      <c r="A214" t="inlineStr">
        <is>
          <t>PHS-0213</t>
        </is>
      </c>
      <c r="B214" t="inlineStr">
        <is>
          <t>Mushu Lunar New Year 2024 Limited Release Pin</t>
        </is>
      </c>
      <c r="C214" t="inlineStr">
        <is>
          <t>Disney Store UK</t>
        </is>
      </c>
      <c r="D214" t="inlineStr"/>
      <c r="E214" t="inlineStr">
        <is>
          <t>2023-12-12</t>
        </is>
      </c>
      <c r="F214" t="n">
        <v>2023</v>
      </c>
      <c r="G214" t="inlineStr"/>
      <c r="H214" t="inlineStr"/>
      <c r="I214" t="inlineStr"/>
      <c r="J214" t="inlineStr"/>
      <c r="K214" t="inlineStr"/>
      <c r="L214" t="inlineStr">
        <is>
          <t>limited release</t>
        </is>
      </c>
      <c r="M214" t="inlineStr"/>
      <c r="N214" t="n">
        <v>12</v>
      </c>
      <c r="O214" t="inlineStr">
        <is>
          <t>GBP</t>
        </is>
      </c>
      <c r="P214" t="inlineStr">
        <is>
          <t>438017520530</t>
        </is>
      </c>
      <c r="Q214" t="n">
        <v>1</v>
      </c>
      <c r="R214" t="n">
        <v>1</v>
      </c>
      <c r="S214">
        <f>IF(Q214="","",MAX(Q214-R214,0))</f>
        <v/>
      </c>
      <c r="T214" s="3">
        <f>IF(Q214="","",MIN(R214/Q214,1))</f>
        <v/>
      </c>
      <c r="U214" t="inlineStr">
        <is>
          <t>Mushu</t>
        </is>
      </c>
      <c r="V214" t="inlineStr"/>
      <c r="W214" t="inlineStr">
        <is>
          <t>evidenced</t>
        </is>
      </c>
      <c r="X214" t="inlineStr">
        <is>
          <t>Medium</t>
        </is>
      </c>
      <c r="Y214" t="inlineStr">
        <is>
          <t>https://www.disneystore.co.uk/mushu-lunar-new-year-2024-limited-release-pin-mulan-438017520530.html</t>
        </is>
      </c>
      <c r="Z214" t="inlineStr">
        <is>
          <t>official</t>
        </is>
      </c>
      <c r="AA214" t="inlineStr">
        <is>
          <t>https://www.disneystore.eu/mushu-lunar-new-year-2024-limited-release-pin-mulan-438017520530.html</t>
        </is>
      </c>
      <c r="AB214" t="n">
        <v>4</v>
      </c>
      <c r="AC214" t="inlineStr"/>
      <c r="AD214" t="inlineStr"/>
      <c r="AE214" t="inlineStr"/>
      <c r="AF214" t="inlineStr"/>
      <c r="AG214" t="inlineStr">
        <is>
          <t>dsuk/2024/lunar-new-year-2024-mushu</t>
        </is>
      </c>
    </row>
    <row r="215">
      <c r="A215" t="inlineStr">
        <is>
          <t>PHS-0214</t>
        </is>
      </c>
      <c r="B215" t="inlineStr">
        <is>
          <t>Disney Magical Collections (2024)</t>
        </is>
      </c>
      <c r="C215" t="inlineStr">
        <is>
          <t>Disney Store UK</t>
        </is>
      </c>
      <c r="D215" t="inlineStr">
        <is>
          <t>Disney Store</t>
        </is>
      </c>
      <c r="E215" t="inlineStr">
        <is>
          <t>2024-01</t>
        </is>
      </c>
      <c r="F215" t="n">
        <v>2024</v>
      </c>
      <c r="G215" t="inlineStr">
        <is>
          <t>Disney Magical Collections</t>
        </is>
      </c>
      <c r="H215" t="inlineStr"/>
      <c r="I215" t="inlineStr">
        <is>
          <t>monthly single-pin limited edition releases</t>
        </is>
      </c>
      <c r="J215" t="inlineStr"/>
      <c r="K215" t="inlineStr"/>
      <c r="L215" t="inlineStr">
        <is>
          <t>limited edition</t>
        </is>
      </c>
      <c r="M215" t="n">
        <v>1100</v>
      </c>
      <c r="N215" t="inlineStr"/>
      <c r="O215" t="inlineStr">
        <is>
          <t>GBP</t>
        </is>
      </c>
      <c r="P215" t="inlineStr"/>
      <c r="Q215" t="n">
        <v>12</v>
      </c>
      <c r="R215" t="n">
        <v>12</v>
      </c>
      <c r="S215">
        <f>IF(Q215="","",MAX(Q215-R215,0))</f>
        <v/>
      </c>
      <c r="T215" s="3">
        <f>IF(Q215="","",MIN(R215/Q215,1))</f>
        <v/>
      </c>
      <c r="U215" t="inlineStr">
        <is>
          <t>Abu; Belle; Chip; Dale; Dopey; Grumpy; Dug; Jack-Jack; Raccoon; Meeko; Percy; Queen of Hearts; Emile; Remy; The Little Mermaid Disney Magical Collections Pin; Pumbaa; Timon; Vanellope</t>
        </is>
      </c>
      <c r="V215" t="inlineStr"/>
      <c r="W215" t="inlineStr">
        <is>
          <t>evidenced</t>
        </is>
      </c>
      <c r="X215" t="inlineStr">
        <is>
          <t>Medium</t>
        </is>
      </c>
      <c r="Y215" t="inlineStr">
        <is>
          <t>https://www.disneystore.co.uk/abu-disney-magical-collections-limited-edition-pin-aladdin-438017892538.html</t>
        </is>
      </c>
      <c r="Z215" t="inlineStr">
        <is>
          <t>official</t>
        </is>
      </c>
      <c r="AA215" t="inlineStr">
        <is>
          <t>https://www.disneystore.co.uk/belle-and-chip-disney-magical-collections-limited-edition-pin-beauty-and-the-beast-438017783713.html</t>
        </is>
      </c>
      <c r="AB215" t="n">
        <v>4</v>
      </c>
      <c r="AC215" t="inlineStr"/>
      <c r="AD215" t="inlineStr"/>
      <c r="AE215" t="inlineStr"/>
      <c r="AF215" t="inlineStr"/>
      <c r="AG215" t="inlineStr">
        <is>
          <t>dsuk/2024/disney-magical-collections-2024</t>
        </is>
      </c>
    </row>
    <row r="216">
      <c r="A216" t="inlineStr">
        <is>
          <t>PHS-0215</t>
        </is>
      </c>
      <c r="B216" t="inlineStr">
        <is>
          <t>Magical Medallions (January 2024 releases)</t>
        </is>
      </c>
      <c r="C216" t="inlineStr">
        <is>
          <t>Disney Store UK</t>
        </is>
      </c>
      <c r="D216" t="inlineStr"/>
      <c r="E216" t="inlineStr">
        <is>
          <t>2024-01</t>
        </is>
      </c>
      <c r="F216" t="n">
        <v>2024</v>
      </c>
      <c r="G216" t="inlineStr">
        <is>
          <t>Magical Medallions</t>
        </is>
      </c>
      <c r="H216" t="inlineStr"/>
      <c r="I216" t="inlineStr"/>
      <c r="J216" t="inlineStr"/>
      <c r="K216" t="inlineStr"/>
      <c r="L216" t="inlineStr">
        <is>
          <t>limited edition</t>
        </is>
      </c>
      <c r="M216" t="inlineStr"/>
      <c r="N216" t="inlineStr"/>
      <c r="O216" t="inlineStr"/>
      <c r="P216" t="inlineStr"/>
      <c r="Q216" t="inlineStr"/>
      <c r="R216" t="n">
        <v>2</v>
      </c>
      <c r="S216">
        <f>IF(Q216="","",MAX(Q216-R216,0))</f>
        <v/>
      </c>
      <c r="T216" s="3">
        <f>IF(Q216="","",MIN(R216/Q216,1))</f>
        <v/>
      </c>
      <c r="U216" t="inlineStr">
        <is>
          <t>Big Hero 6 Magical Medallions Limited Release Pin; Meet the Robinsons Magical Medallions Limited Release Pin</t>
        </is>
      </c>
      <c r="V216" t="inlineStr"/>
      <c r="W216" t="inlineStr">
        <is>
          <t>evidenced (held)</t>
        </is>
      </c>
      <c r="X216" t="inlineStr">
        <is>
          <t>Low</t>
        </is>
      </c>
      <c r="Y216" t="inlineStr">
        <is>
          <t>https://www.disneystore.co.uk/big-hero-6-magical-medallions-limited-release-pin-438017682818.html</t>
        </is>
      </c>
      <c r="Z216" t="inlineStr">
        <is>
          <t>official</t>
        </is>
      </c>
      <c r="AA216" t="inlineStr">
        <is>
          <t>https://www.disneystore.eu/meet-the-robinsons-magical-medallions-limited-release-pin-438017682733.html</t>
        </is>
      </c>
      <c r="AB216" t="n">
        <v>4</v>
      </c>
      <c r="AC216" t="inlineStr"/>
      <c r="AD216" t="inlineStr"/>
      <c r="AE216" t="inlineStr"/>
      <c r="AF216" t="inlineStr"/>
      <c r="AG216" t="inlineStr">
        <is>
          <t>dsuk/2024/magical-medallions-jan-2024</t>
        </is>
      </c>
    </row>
    <row r="217">
      <c r="A217" t="inlineStr">
        <is>
          <t>PHS-0216</t>
        </is>
      </c>
      <c r="B217" t="inlineStr">
        <is>
          <t>Mickey Mouse and Minnie Mouse St. David's Day 2024 Limited Edition Pin</t>
        </is>
      </c>
      <c r="C217" t="inlineStr">
        <is>
          <t>Disney Store UK</t>
        </is>
      </c>
      <c r="D217" t="inlineStr"/>
      <c r="E217" t="inlineStr">
        <is>
          <t>2024-02</t>
        </is>
      </c>
      <c r="F217" t="n">
        <v>2024</v>
      </c>
      <c r="G217" t="inlineStr"/>
      <c r="H217" t="inlineStr"/>
      <c r="I217" t="inlineStr"/>
      <c r="J217" t="inlineStr"/>
      <c r="K217" t="inlineStr"/>
      <c r="L217" t="inlineStr">
        <is>
          <t>limited edition</t>
        </is>
      </c>
      <c r="M217" t="n">
        <v>500</v>
      </c>
      <c r="N217" t="n">
        <v>6</v>
      </c>
      <c r="O217" t="inlineStr">
        <is>
          <t>GBP</t>
        </is>
      </c>
      <c r="P217" t="inlineStr">
        <is>
          <t>438017640412</t>
        </is>
      </c>
      <c r="Q217" t="n">
        <v>1</v>
      </c>
      <c r="R217" t="n">
        <v>1</v>
      </c>
      <c r="S217">
        <f>IF(Q217="","",MAX(Q217-R217,0))</f>
        <v/>
      </c>
      <c r="T217" s="3">
        <f>IF(Q217="","",MIN(R217/Q217,1))</f>
        <v/>
      </c>
      <c r="U217" t="inlineStr">
        <is>
          <t>Mickey Mouse; Minnie Mouse</t>
        </is>
      </c>
      <c r="V217" t="inlineStr"/>
      <c r="W217" t="inlineStr">
        <is>
          <t>evidenced</t>
        </is>
      </c>
      <c r="X217" t="inlineStr">
        <is>
          <t>Medium</t>
        </is>
      </c>
      <c r="Y217" t="inlineStr">
        <is>
          <t>https://www.disneystore.co.uk/mickey-mouse-and-minnie-mouse-st.-davids-day-2024-limited-edition-pin-438017640412.html</t>
        </is>
      </c>
      <c r="Z217" t="inlineStr">
        <is>
          <t>official</t>
        </is>
      </c>
      <c r="AA217" t="inlineStr">
        <is>
          <t>https://www.disneystore.eu/mickey-mouse-and-minnie-mouse-st.-davids-day-2024-limited-edition-pin-438017640412.html</t>
        </is>
      </c>
      <c r="AB217" t="n">
        <v>3</v>
      </c>
      <c r="AC217" t="inlineStr"/>
      <c r="AD217" t="inlineStr"/>
      <c r="AE217" t="inlineStr"/>
      <c r="AF217" t="inlineStr"/>
      <c r="AG217" t="inlineStr">
        <is>
          <t>dsuk/2024/st-davids-day-2024</t>
        </is>
      </c>
    </row>
    <row r="218">
      <c r="A218" t="inlineStr">
        <is>
          <t>PHS-0217</t>
        </is>
      </c>
      <c r="B218" t="inlineStr">
        <is>
          <t>Moana Limited Edition Mystery Puzzle Pin</t>
        </is>
      </c>
      <c r="C218" t="inlineStr">
        <is>
          <t>Disney Store UK</t>
        </is>
      </c>
      <c r="D218" t="inlineStr"/>
      <c r="E218" t="inlineStr">
        <is>
          <t>2024-06-14</t>
        </is>
      </c>
      <c r="F218" t="n">
        <v>2024</v>
      </c>
      <c r="G218" t="inlineStr"/>
      <c r="H218" t="inlineStr"/>
      <c r="I218" t="inlineStr">
        <is>
          <t>blind box mystery puzzle-piece pins</t>
        </is>
      </c>
      <c r="J218" t="n">
        <v>1</v>
      </c>
      <c r="K218" t="b">
        <v>1</v>
      </c>
      <c r="L218" t="inlineStr">
        <is>
          <t>limited edition</t>
        </is>
      </c>
      <c r="M218" t="n">
        <v>650</v>
      </c>
      <c r="N218" t="n">
        <v>14</v>
      </c>
      <c r="O218" t="inlineStr">
        <is>
          <t>UK: GBP | EU: EUR</t>
        </is>
      </c>
      <c r="P218" t="inlineStr">
        <is>
          <t>438017784888</t>
        </is>
      </c>
      <c r="Q218" t="n">
        <v>12</v>
      </c>
      <c r="R218" t="n">
        <v>8</v>
      </c>
      <c r="S218">
        <f>IF(Q218="","",MAX(Q218-R218,0))</f>
        <v/>
      </c>
      <c r="T218" s="3">
        <f>IF(Q218="","",MIN(R218/Q218,1))</f>
        <v/>
      </c>
      <c r="U218" t="inlineStr">
        <is>
          <t>Chief Tui; Sina; Gramma Tala; Hei Hei; Heihei; Maui; Moana; Pua; Tamatoa; Te Fiti</t>
        </is>
      </c>
      <c r="V218" t="inlineStr"/>
      <c r="W218" t="inlineStr">
        <is>
          <t>evidenced</t>
        </is>
      </c>
      <c r="X218" t="inlineStr">
        <is>
          <t>Medium</t>
        </is>
      </c>
      <c r="Y218" t="inlineStr">
        <is>
          <t>https://www.disneystore.co.uk/moana-limited-edition-mystery-puzzle-pin-438017784888.html</t>
        </is>
      </c>
      <c r="Z218" t="inlineStr">
        <is>
          <t>official</t>
        </is>
      </c>
      <c r="AA218" t="inlineStr">
        <is>
          <t>https://www.disneystore.eu/moana-limited-edition-mystery-puzzle-pin-438017784888.html</t>
        </is>
      </c>
      <c r="AB218" t="n">
        <v>3</v>
      </c>
      <c r="AC218" t="inlineStr"/>
      <c r="AD218" t="inlineStr"/>
      <c r="AE218" t="inlineStr"/>
      <c r="AF218" t="inlineStr"/>
      <c r="AG218" t="inlineStr">
        <is>
          <t>dsuk/2024/moana-mystery-puzzle-pin</t>
        </is>
      </c>
    </row>
    <row r="219">
      <c r="A219" t="inlineStr">
        <is>
          <t>PHS-0218</t>
        </is>
      </c>
      <c r="B219" t="inlineStr">
        <is>
          <t>Miss Bianca Limited Edition Bastille Day 2024 Pin</t>
        </is>
      </c>
      <c r="C219" t="inlineStr">
        <is>
          <t>Disney Store UK</t>
        </is>
      </c>
      <c r="D219" t="inlineStr"/>
      <c r="E219" t="inlineStr">
        <is>
          <t>2024-07</t>
        </is>
      </c>
      <c r="F219" t="n">
        <v>2024</v>
      </c>
      <c r="G219" t="inlineStr"/>
      <c r="H219" t="inlineStr"/>
      <c r="I219" t="inlineStr"/>
      <c r="J219" t="inlineStr"/>
      <c r="K219" t="inlineStr"/>
      <c r="L219" t="inlineStr">
        <is>
          <t>limited edition</t>
        </is>
      </c>
      <c r="M219" t="n">
        <v>750</v>
      </c>
      <c r="N219" t="n">
        <v>18</v>
      </c>
      <c r="O219" t="inlineStr">
        <is>
          <t>EUR</t>
        </is>
      </c>
      <c r="P219" t="inlineStr">
        <is>
          <t>438017894365</t>
        </is>
      </c>
      <c r="Q219" t="n">
        <v>1</v>
      </c>
      <c r="R219" t="n">
        <v>1</v>
      </c>
      <c r="S219">
        <f>IF(Q219="","",MAX(Q219-R219,0))</f>
        <v/>
      </c>
      <c r="T219" s="3">
        <f>IF(Q219="","",MIN(R219/Q219,1))</f>
        <v/>
      </c>
      <c r="U219" t="inlineStr">
        <is>
          <t>Miss Bianca</t>
        </is>
      </c>
      <c r="V219" t="inlineStr"/>
      <c r="W219" t="inlineStr">
        <is>
          <t>evidenced</t>
        </is>
      </c>
      <c r="X219" t="inlineStr">
        <is>
          <t>Medium</t>
        </is>
      </c>
      <c r="Y219" t="inlineStr">
        <is>
          <t>https://www.disneystore.eu/miss-bianca-limited-edition-bastille-day-2024-pin-the-rescuers-438017894365.html</t>
        </is>
      </c>
      <c r="Z219" t="inlineStr">
        <is>
          <t>official</t>
        </is>
      </c>
      <c r="AA219" t="inlineStr">
        <is>
          <t>https://disneypinsblog.com/miss-bianca-bastille-day-2024-pin-at-disney-store-europe/</t>
        </is>
      </c>
      <c r="AB219" t="n">
        <v>3</v>
      </c>
      <c r="AC219" t="inlineStr"/>
      <c r="AD219" t="inlineStr"/>
      <c r="AE219" t="inlineStr"/>
      <c r="AF219" t="inlineStr"/>
      <c r="AG219" t="inlineStr">
        <is>
          <t>dsuk/2024/bastille-day-2024-miss-bianca</t>
        </is>
      </c>
    </row>
    <row r="220">
      <c r="A220" t="inlineStr">
        <is>
          <t>PHS-0219</t>
        </is>
      </c>
      <c r="B220" t="inlineStr">
        <is>
          <t>Mickey's Christmas Carol 24-Day Advent Calendar Mystery Pin Set 2024</t>
        </is>
      </c>
      <c r="C220" t="inlineStr">
        <is>
          <t>Disney Store UK</t>
        </is>
      </c>
      <c r="D220" t="inlineStr">
        <is>
          <t>Disney Store</t>
        </is>
      </c>
      <c r="E220" t="inlineStr">
        <is>
          <t>2024-09-30</t>
        </is>
      </c>
      <c r="F220" t="n">
        <v>2024</v>
      </c>
      <c r="G220" t="inlineStr"/>
      <c r="H220" t="inlineStr"/>
      <c r="I220" t="inlineStr">
        <is>
          <t>advent calendar, 24 mystery pins in book-shaped case</t>
        </is>
      </c>
      <c r="J220" t="inlineStr"/>
      <c r="K220" t="inlineStr"/>
      <c r="L220" t="inlineStr">
        <is>
          <t>limited edition</t>
        </is>
      </c>
      <c r="M220" t="n">
        <v>3300</v>
      </c>
      <c r="N220" t="n">
        <v>150</v>
      </c>
      <c r="O220" t="inlineStr">
        <is>
          <t>EUR</t>
        </is>
      </c>
      <c r="P220" t="inlineStr">
        <is>
          <t>438018036092</t>
        </is>
      </c>
      <c r="Q220" t="n">
        <v>24</v>
      </c>
      <c r="R220" t="n">
        <v>14</v>
      </c>
      <c r="S220">
        <f>IF(Q220="","",MAX(Q220-R220,0))</f>
        <v/>
      </c>
      <c r="T220" s="3">
        <f>IF(Q220="","",MIN(R220/Q220,1))</f>
        <v/>
      </c>
      <c r="U220" t="inlineStr">
        <is>
          <t>Chip; Dale; Cyril Proudbottom; Daisy Duck; Donald Duck; Goofy; Grandma Duck; Uncle Waldo; Jiminy Cricket; Mickey Mouse; Minnie Mouse; Morty Fieldmouse; Mr. Toad; Moley; Ratty; Scrooge McDuck</t>
        </is>
      </c>
      <c r="V220" t="inlineStr"/>
      <c r="W220" t="inlineStr">
        <is>
          <t>evidenced</t>
        </is>
      </c>
      <c r="X220" t="inlineStr">
        <is>
          <t>Medium</t>
        </is>
      </c>
      <c r="Y220" t="inlineStr">
        <is>
          <t>https://www.disneystore.eu/mickeys-christmas-carol-limited-edition-24-day-advent-calendar-mystery-pin-set-2024-438018036092.html</t>
        </is>
      </c>
      <c r="Z220" t="inlineStr">
        <is>
          <t>official</t>
        </is>
      </c>
      <c r="AA220" t="inlineStr">
        <is>
          <t>https://chipandco.com/mickeys-christmas-carol-24-day-advent-calendar-mystery-pin-set-2024-a-must-have-for-disney-pin-collectors-580256/</t>
        </is>
      </c>
      <c r="AB220" t="n">
        <v>6</v>
      </c>
      <c r="AC220" t="inlineStr"/>
      <c r="AD220" t="inlineStr"/>
      <c r="AE220" t="inlineStr"/>
      <c r="AF220" t="inlineStr"/>
      <c r="AG220" t="inlineStr">
        <is>
          <t>dsuk/2024/mickeys-christmas-carol-advent-calendar-2024</t>
        </is>
      </c>
    </row>
    <row r="221">
      <c r="A221" t="inlineStr">
        <is>
          <t>PHS-0220</t>
        </is>
      </c>
      <c r="B221" t="inlineStr">
        <is>
          <t>Mickey Mouse and Santa Claus Limited Release Festive Pin 2024</t>
        </is>
      </c>
      <c r="C221" t="inlineStr">
        <is>
          <t>Disney Store UK</t>
        </is>
      </c>
      <c r="D221" t="inlineStr"/>
      <c r="E221" t="inlineStr">
        <is>
          <t>2024-10-15</t>
        </is>
      </c>
      <c r="F221" t="n">
        <v>2024</v>
      </c>
      <c r="G221" t="inlineStr">
        <is>
          <t>Mickey Mouse Family Christmas Collection</t>
        </is>
      </c>
      <c r="H221" t="inlineStr"/>
      <c r="I221" t="inlineStr"/>
      <c r="J221" t="inlineStr"/>
      <c r="K221" t="inlineStr"/>
      <c r="L221" t="inlineStr">
        <is>
          <t>limited release</t>
        </is>
      </c>
      <c r="M221" t="inlineStr"/>
      <c r="N221" t="inlineStr">
        <is>
          <t>UK: 16 | EU: 10.8</t>
        </is>
      </c>
      <c r="O221" t="inlineStr">
        <is>
          <t>GBP</t>
        </is>
      </c>
      <c r="P221" t="inlineStr">
        <is>
          <t>438018034685</t>
        </is>
      </c>
      <c r="Q221" t="n">
        <v>1</v>
      </c>
      <c r="R221" t="n">
        <v>1</v>
      </c>
      <c r="S221">
        <f>IF(Q221="","",MAX(Q221-R221,0))</f>
        <v/>
      </c>
      <c r="T221" s="3">
        <f>IF(Q221="","",MIN(R221/Q221,1))</f>
        <v/>
      </c>
      <c r="U221" t="inlineStr">
        <is>
          <t>Mickey Mouse; Santa Claus</t>
        </is>
      </c>
      <c r="V221" t="inlineStr"/>
      <c r="W221" t="inlineStr">
        <is>
          <t>evidenced</t>
        </is>
      </c>
      <c r="X221" t="inlineStr">
        <is>
          <t>Medium</t>
        </is>
      </c>
      <c r="Y221" t="inlineStr">
        <is>
          <t>https://www.disneystore.co.uk/mickey-mouse-and-santa-claus-limited-release-festive-pin-2024-438018034685.html</t>
        </is>
      </c>
      <c r="Z221" t="inlineStr">
        <is>
          <t>official</t>
        </is>
      </c>
      <c r="AA221" t="inlineStr">
        <is>
          <t>https://www.disneystore.eu/mickey-mouse-and-santa-claus-limited-release-festive-pin-2024-438018034685.html</t>
        </is>
      </c>
      <c r="AB221" t="n">
        <v>3</v>
      </c>
      <c r="AC221" t="inlineStr"/>
      <c r="AD221" t="inlineStr"/>
      <c r="AE221" t="inlineStr"/>
      <c r="AF221" t="inlineStr"/>
      <c r="AG221" t="inlineStr">
        <is>
          <t>dsuk/2024/mickey-and-santa-claus-festive-pin-2024</t>
        </is>
      </c>
    </row>
    <row r="222">
      <c r="A222" t="inlineStr">
        <is>
          <t>PHS-0221</t>
        </is>
      </c>
      <c r="B222" t="inlineStr">
        <is>
          <t>Celebrating Disney Pins 25th Anniversary Limited Edition Pin Set Series, 1 of 4</t>
        </is>
      </c>
      <c r="C222" t="inlineStr">
        <is>
          <t>Disney Store UK</t>
        </is>
      </c>
      <c r="D222" t="inlineStr"/>
      <c r="E222" t="inlineStr">
        <is>
          <t>2025-02-25</t>
        </is>
      </c>
      <c r="F222" t="n">
        <v>2025</v>
      </c>
      <c r="G222" t="inlineStr">
        <is>
          <t>Celebrating Disney Pins 25th Anniversary</t>
        </is>
      </c>
      <c r="H222" t="inlineStr">
        <is>
          <t>Series 1 of 4</t>
        </is>
      </c>
      <c r="I222" t="inlineStr">
        <is>
          <t>3-pin set in window presentation box with magnetic closure</t>
        </is>
      </c>
      <c r="J222" t="inlineStr"/>
      <c r="K222" t="inlineStr"/>
      <c r="L222" t="inlineStr">
        <is>
          <t>limited edition</t>
        </is>
      </c>
      <c r="M222" t="n">
        <v>900</v>
      </c>
      <c r="N222" t="n">
        <v>35</v>
      </c>
      <c r="O222" t="inlineStr">
        <is>
          <t>GBP</t>
        </is>
      </c>
      <c r="P222" t="inlineStr">
        <is>
          <t>438019714227</t>
        </is>
      </c>
      <c r="Q222" t="n">
        <v>3</v>
      </c>
      <c r="R222" t="n">
        <v>3</v>
      </c>
      <c r="S222">
        <f>IF(Q222="","",MAX(Q222-R222,0))</f>
        <v/>
      </c>
      <c r="T222" s="3">
        <f>IF(Q222="","",MIN(R222/Q222,1))</f>
        <v/>
      </c>
      <c r="U222" t="inlineStr">
        <is>
          <t>Chip; Dale; Donald Duck; Goofy</t>
        </is>
      </c>
      <c r="V222" t="inlineStr"/>
      <c r="W222" t="inlineStr">
        <is>
          <t>evidenced</t>
        </is>
      </c>
      <c r="X222" t="inlineStr">
        <is>
          <t>Medium</t>
        </is>
      </c>
      <c r="Y222" t="inlineStr">
        <is>
          <t>https://www.disneystore.co.uk/celebrating-disney-pins-25th-anniversary-limited-edition-pin-set-series-1-of-4-438019714227.html</t>
        </is>
      </c>
      <c r="Z222" t="inlineStr">
        <is>
          <t>official</t>
        </is>
      </c>
      <c r="AA222" t="inlineStr">
        <is>
          <t>https://disneypinsblog.com/celebrating-disney-pins-25-years-pin-set-1-at-disney-store/</t>
        </is>
      </c>
      <c r="AB222" t="n">
        <v>3</v>
      </c>
      <c r="AC222" t="inlineStr"/>
      <c r="AD222" t="inlineStr"/>
      <c r="AE222" t="inlineStr"/>
      <c r="AF222" t="inlineStr"/>
      <c r="AG222" t="inlineStr">
        <is>
          <t>dsuk/2025/celebrating-disney-pins-25-series-1</t>
        </is>
      </c>
    </row>
    <row r="223">
      <c r="A223" t="inlineStr">
        <is>
          <t>PHS-0222</t>
        </is>
      </c>
      <c r="B223" t="inlineStr">
        <is>
          <t>Ducks of Disney Mystery Pin Pouch</t>
        </is>
      </c>
      <c r="C223" t="inlineStr">
        <is>
          <t>Disney Store UK</t>
        </is>
      </c>
      <c r="D223" t="inlineStr"/>
      <c r="E223" t="inlineStr">
        <is>
          <t>2025-03-12</t>
        </is>
      </c>
      <c r="F223" t="n">
        <v>2025</v>
      </c>
      <c r="G223" t="inlineStr"/>
      <c r="H223" t="inlineStr"/>
      <c r="I223" t="inlineStr">
        <is>
          <t>mystery pouch, 5 random pins of 16</t>
        </is>
      </c>
      <c r="J223" t="n">
        <v>5</v>
      </c>
      <c r="K223" t="inlineStr"/>
      <c r="L223" t="inlineStr"/>
      <c r="M223" t="inlineStr"/>
      <c r="N223" t="n">
        <v>28</v>
      </c>
      <c r="O223" t="inlineStr">
        <is>
          <t>GBP</t>
        </is>
      </c>
      <c r="P223" t="inlineStr">
        <is>
          <t>438038208431</t>
        </is>
      </c>
      <c r="Q223" t="n">
        <v>16</v>
      </c>
      <c r="R223" t="n">
        <v>16</v>
      </c>
      <c r="S223">
        <f>IF(Q223="","",MAX(Q223-R223,0))</f>
        <v/>
      </c>
      <c r="T223" s="3">
        <f>IF(Q223="","",MIN(R223/Q223,1))</f>
        <v/>
      </c>
      <c r="U223" t="inlineStr">
        <is>
          <t>Baymax; Cheshire Cat; Daisy Duck; Donald Duck; Dumbo; Figment; Goofy; Marie; Minnie Mouse; Nemo; Pluto; Powerline; Sorcerer Mickey; Stitch; Tigger; Tinker Bell</t>
        </is>
      </c>
      <c r="V223" t="inlineStr"/>
      <c r="W223" t="inlineStr">
        <is>
          <t>evidenced</t>
        </is>
      </c>
      <c r="X223" t="inlineStr">
        <is>
          <t>Medium</t>
        </is>
      </c>
      <c r="Y223" t="inlineStr">
        <is>
          <t>https://www.disneystore.co.uk/ducks-of-disney-mystery-pin-pouch-438038208431.html</t>
        </is>
      </c>
      <c r="Z223" t="inlineStr">
        <is>
          <t>official</t>
        </is>
      </c>
      <c r="AA223" t="inlineStr">
        <is>
          <t>https://www.extramagicminutes.com/disney-store-uk/disney-pin-collection-disney-store-uk-2025</t>
        </is>
      </c>
      <c r="AB223" t="n">
        <v>3</v>
      </c>
      <c r="AC223" t="inlineStr"/>
      <c r="AD223" t="inlineStr"/>
      <c r="AE223" t="inlineStr"/>
      <c r="AF223" t="inlineStr"/>
      <c r="AG223" t="inlineStr">
        <is>
          <t>dsuk/2025/ducks-of-disney-mystery-pouch</t>
        </is>
      </c>
    </row>
    <row r="224">
      <c r="A224" t="inlineStr">
        <is>
          <t>PHS-0223</t>
        </is>
      </c>
      <c r="B224" t="inlineStr">
        <is>
          <t>Celebrating Disney Pins 25th Anniversary Limited Edition Pin Set Series, 2 of 4</t>
        </is>
      </c>
      <c r="C224" t="inlineStr">
        <is>
          <t>Disney Store UK</t>
        </is>
      </c>
      <c r="D224" t="inlineStr"/>
      <c r="E224" t="inlineStr">
        <is>
          <t>2025-04-01</t>
        </is>
      </c>
      <c r="F224" t="n">
        <v>2025</v>
      </c>
      <c r="G224" t="inlineStr">
        <is>
          <t>Celebrating Disney Pins 25th Anniversary</t>
        </is>
      </c>
      <c r="H224" t="inlineStr">
        <is>
          <t>Series 2 of 4 (Lilo &amp; Stitch)</t>
        </is>
      </c>
      <c r="I224" t="inlineStr">
        <is>
          <t>3-pin set in window presentation box with magnetic closure</t>
        </is>
      </c>
      <c r="J224" t="inlineStr"/>
      <c r="K224" t="inlineStr"/>
      <c r="L224" t="inlineStr">
        <is>
          <t>limited edition</t>
        </is>
      </c>
      <c r="M224" t="n">
        <v>900</v>
      </c>
      <c r="N224" t="inlineStr">
        <is>
          <t>UK: 35 | EU: 38</t>
        </is>
      </c>
      <c r="O224" t="inlineStr">
        <is>
          <t>UK: GBP | EU: EUR</t>
        </is>
      </c>
      <c r="P224" t="inlineStr">
        <is>
          <t>438019581553</t>
        </is>
      </c>
      <c r="Q224" t="n">
        <v>3</v>
      </c>
      <c r="R224" t="n">
        <v>3</v>
      </c>
      <c r="S224">
        <f>IF(Q224="","",MAX(Q224-R224,0))</f>
        <v/>
      </c>
      <c r="T224" s="3">
        <f>IF(Q224="","",MIN(R224/Q224,1))</f>
        <v/>
      </c>
      <c r="U224" t="inlineStr">
        <is>
          <t>Jumba Jookiba; Pleakley; Angel; Stitch</t>
        </is>
      </c>
      <c r="V224" t="inlineStr"/>
      <c r="W224" t="inlineStr">
        <is>
          <t>evidenced</t>
        </is>
      </c>
      <c r="X224" t="inlineStr">
        <is>
          <t>Medium</t>
        </is>
      </c>
      <c r="Y224" t="inlineStr">
        <is>
          <t>https://www.disneystore.co.uk/celebrating-disney-pins-25th-anniversary-limited-edition-pin-set-series-2-of-4-438019581553.html</t>
        </is>
      </c>
      <c r="Z224" t="inlineStr">
        <is>
          <t>official</t>
        </is>
      </c>
      <c r="AA224" t="inlineStr">
        <is>
          <t>https://www.disneystore.eu/celebrating-disney-pins-25th-anniversary-limited-edition-pin-set-series-2-of-4-438019581553.html</t>
        </is>
      </c>
      <c r="AB224" t="n">
        <v>4</v>
      </c>
      <c r="AC224" t="inlineStr"/>
      <c r="AD224" t="inlineStr"/>
      <c r="AE224" t="inlineStr"/>
      <c r="AF224" t="inlineStr"/>
      <c r="AG224" t="inlineStr">
        <is>
          <t>dsuk/2025/celebrating-disney-pins-25-series-2</t>
        </is>
      </c>
    </row>
    <row r="225">
      <c r="A225" t="inlineStr">
        <is>
          <t>PHS-0224</t>
        </is>
      </c>
      <c r="B225" t="inlineStr">
        <is>
          <t>Disney Parks Pin Trading 25 Years Mystery Pin Set</t>
        </is>
      </c>
      <c r="C225" t="inlineStr">
        <is>
          <t>Disney Store UK</t>
        </is>
      </c>
      <c r="D225" t="inlineStr"/>
      <c r="E225" t="inlineStr">
        <is>
          <t>2025-05-22</t>
        </is>
      </c>
      <c r="F225" t="n">
        <v>2025</v>
      </c>
      <c r="G225" t="inlineStr"/>
      <c r="H225" t="inlineStr"/>
      <c r="I225" t="inlineStr">
        <is>
          <t>mystery pack, 2 random pins</t>
        </is>
      </c>
      <c r="J225" t="n">
        <v>2</v>
      </c>
      <c r="K225" t="inlineStr"/>
      <c r="L225" t="inlineStr"/>
      <c r="M225" t="inlineStr"/>
      <c r="N225" t="n">
        <v>14</v>
      </c>
      <c r="O225" t="inlineStr">
        <is>
          <t>GBP</t>
        </is>
      </c>
      <c r="P225" t="inlineStr">
        <is>
          <t>438019581485</t>
        </is>
      </c>
      <c r="Q225" t="n">
        <v>10</v>
      </c>
      <c r="R225" t="n">
        <v>10</v>
      </c>
      <c r="S225">
        <f>IF(Q225="","",MAX(Q225-R225,0))</f>
        <v/>
      </c>
      <c r="T225" s="3">
        <f>IF(Q225="","",MIN(R225/Q225,1))</f>
        <v/>
      </c>
      <c r="U225" t="inlineStr">
        <is>
          <t>Animal; Baymax; Donald Duck; Genie; Goofy; Minnie Mouse; Miss Piggy; Pete; Pluto; Stitch</t>
        </is>
      </c>
      <c r="V225" t="inlineStr"/>
      <c r="W225" t="inlineStr">
        <is>
          <t>evidenced</t>
        </is>
      </c>
      <c r="X225" t="inlineStr">
        <is>
          <t>Medium</t>
        </is>
      </c>
      <c r="Y225" t="inlineStr">
        <is>
          <t>https://www.disneystore.co.uk/disney-parks-pin-trading-25-years-mystery-pin-set-438019581485.html</t>
        </is>
      </c>
      <c r="Z225" t="inlineStr">
        <is>
          <t>official</t>
        </is>
      </c>
      <c r="AA225" t="inlineStr">
        <is>
          <t>https://www.disneystore.eu/disney-parks-pin-trading-25-years-mystery-pin-set-438019581485.html</t>
        </is>
      </c>
      <c r="AB225" t="n">
        <v>4</v>
      </c>
      <c r="AC225" t="inlineStr"/>
      <c r="AD225" t="inlineStr"/>
      <c r="AE225" t="inlineStr"/>
      <c r="AF225" t="inlineStr"/>
      <c r="AG225" t="inlineStr">
        <is>
          <t>dsuk/2025/pin-trading-25-years-mystery-set</t>
        </is>
      </c>
    </row>
    <row r="226">
      <c r="A226" t="inlineStr">
        <is>
          <t>PHS-0225</t>
        </is>
      </c>
      <c r="B226" t="inlineStr">
        <is>
          <t>Stitch 626 Day 2025 Limited Release Mystery Pin Set</t>
        </is>
      </c>
      <c r="C226" t="inlineStr">
        <is>
          <t>Disney Store UK</t>
        </is>
      </c>
      <c r="D226" t="inlineStr"/>
      <c r="E226" t="inlineStr">
        <is>
          <t>2025-05-22</t>
        </is>
      </c>
      <c r="F226" t="n">
        <v>2025</v>
      </c>
      <c r="G226" t="inlineStr"/>
      <c r="H226" t="inlineStr"/>
      <c r="I226" t="inlineStr">
        <is>
          <t>mystery pack, 2 random pins of 10</t>
        </is>
      </c>
      <c r="J226" t="n">
        <v>2</v>
      </c>
      <c r="K226" t="inlineStr"/>
      <c r="L226" t="inlineStr">
        <is>
          <t>limited release</t>
        </is>
      </c>
      <c r="M226" t="inlineStr"/>
      <c r="N226" t="n">
        <v>34.99</v>
      </c>
      <c r="O226" t="inlineStr">
        <is>
          <t>USD</t>
        </is>
      </c>
      <c r="P226" t="inlineStr">
        <is>
          <t>438019579918</t>
        </is>
      </c>
      <c r="Q226" t="n">
        <v>10</v>
      </c>
      <c r="R226" t="n">
        <v>10</v>
      </c>
      <c r="S226">
        <f>IF(Q226="","",MAX(Q226-R226,0))</f>
        <v/>
      </c>
      <c r="T226" s="3">
        <f>IF(Q226="","",MIN(R226/Q226,1))</f>
        <v/>
      </c>
      <c r="U226" t="inlineStr">
        <is>
          <t>Angel; Felix; Holio; Houdini; Leroy; Reuben; Sparky; Splodyhead; Stitch; Yang</t>
        </is>
      </c>
      <c r="V226" t="inlineStr"/>
      <c r="W226" t="inlineStr">
        <is>
          <t>evidenced (held)</t>
        </is>
      </c>
      <c r="X226" t="inlineStr">
        <is>
          <t>Medium</t>
        </is>
      </c>
      <c r="Y226" t="inlineStr">
        <is>
          <t>https://www.disneystore.asia/stitch-experiment-626-2-piece-mystery-pin-blind-pack%C2%A0626-day-2025-438019579918.html</t>
        </is>
      </c>
      <c r="Z226" t="inlineStr">
        <is>
          <t>official</t>
        </is>
      </c>
      <c r="AA226" t="inlineStr">
        <is>
          <t>https://www.disneystore.co.uk/stitch-626-day-2025-limited-release-mystery-pin-set-438019579918.html</t>
        </is>
      </c>
      <c r="AB226" t="n">
        <v>5</v>
      </c>
      <c r="AC226" t="inlineStr"/>
      <c r="AD226" t="inlineStr"/>
      <c r="AE226" t="inlineStr"/>
      <c r="AF226" t="inlineStr"/>
      <c r="AG226" t="inlineStr">
        <is>
          <t>dsuk/2025/stitch-626-day-2025-experiments-mystery</t>
        </is>
      </c>
    </row>
    <row r="227">
      <c r="A227" t="inlineStr">
        <is>
          <t>PHS-0226</t>
        </is>
      </c>
      <c r="B227" t="inlineStr">
        <is>
          <t>Disney Halloween Limited Edition Countdown Pin Advent Calendar</t>
        </is>
      </c>
      <c r="C227" t="inlineStr">
        <is>
          <t>Disney Store UK</t>
        </is>
      </c>
      <c r="D227" t="inlineStr"/>
      <c r="E227" t="inlineStr">
        <is>
          <t>2025-07-28</t>
        </is>
      </c>
      <c r="F227" t="n">
        <v>2025</v>
      </c>
      <c r="G227" t="inlineStr"/>
      <c r="H227" t="inlineStr"/>
      <c r="I227" t="inlineStr">
        <is>
          <t>13-day countdown calendar, one enamel pin behind each door</t>
        </is>
      </c>
      <c r="J227" t="inlineStr"/>
      <c r="K227" t="inlineStr"/>
      <c r="L227" t="inlineStr">
        <is>
          <t>limited edition</t>
        </is>
      </c>
      <c r="M227" t="n">
        <v>1000</v>
      </c>
      <c r="N227" t="n">
        <v>110</v>
      </c>
      <c r="O227" t="inlineStr">
        <is>
          <t>UK: GBP | EU: EUR</t>
        </is>
      </c>
      <c r="P227" t="inlineStr">
        <is>
          <t>438019866285</t>
        </is>
      </c>
      <c r="Q227" t="n">
        <v>13</v>
      </c>
      <c r="R227" t="n">
        <v>13</v>
      </c>
      <c r="S227">
        <f>IF(Q227="","",MAX(Q227-R227,0))</f>
        <v/>
      </c>
      <c r="T227" s="3">
        <f>IF(Q227="","",MIN(R227/Q227,1))</f>
        <v/>
      </c>
      <c r="U227" t="inlineStr">
        <is>
          <t>Chip; Daisy Duck; Dale; Donald Duck; Eeyore; Goofy; Max; Mickey Mouse; Minnie Mouse; Piglet; Pluto; Tigger; Winnie the Pooh</t>
        </is>
      </c>
      <c r="V227" t="inlineStr"/>
      <c r="W227" t="inlineStr">
        <is>
          <t>evidenced</t>
        </is>
      </c>
      <c r="X227" t="inlineStr">
        <is>
          <t>Medium</t>
        </is>
      </c>
      <c r="Y227" t="inlineStr">
        <is>
          <t>https://www.disneystore.co.uk/disney-halloween-limited-edition-countdown-pin-advent-calendar-438019866285.html</t>
        </is>
      </c>
      <c r="Z227" t="inlineStr">
        <is>
          <t>official</t>
        </is>
      </c>
      <c r="AA227" t="inlineStr">
        <is>
          <t>https://www.disneystore.eu/disney-halloween-limited-edition-countdown-pin-advent-calendar-438019866285.html</t>
        </is>
      </c>
      <c r="AB227" t="n">
        <v>4</v>
      </c>
      <c r="AC227" t="inlineStr"/>
      <c r="AD227" t="inlineStr"/>
      <c r="AE227" t="inlineStr"/>
      <c r="AF227" t="inlineStr"/>
      <c r="AG227" t="inlineStr">
        <is>
          <t>dsuk/2025/halloween-countdown-pin-advent-calendar</t>
        </is>
      </c>
    </row>
    <row r="228">
      <c r="A228" t="inlineStr">
        <is>
          <t>PHS-0227</t>
        </is>
      </c>
      <c r="B228" t="inlineStr">
        <is>
          <t>Celebrating Disney Pins 25th Anniversary Limited Edition Pin Set Series, 3 of 4</t>
        </is>
      </c>
      <c r="C228" t="inlineStr">
        <is>
          <t>Disney Store UK</t>
        </is>
      </c>
      <c r="D228" t="inlineStr"/>
      <c r="E228" t="inlineStr">
        <is>
          <t>2025-09-02</t>
        </is>
      </c>
      <c r="F228" t="n">
        <v>2025</v>
      </c>
      <c r="G228" t="inlineStr"/>
      <c r="H228" t="inlineStr">
        <is>
          <t>Series 3 of 4 (The Muppets)</t>
        </is>
      </c>
      <c r="I228" t="inlineStr"/>
      <c r="J228" t="inlineStr"/>
      <c r="K228" t="inlineStr"/>
      <c r="L228" t="inlineStr">
        <is>
          <t>limited edition</t>
        </is>
      </c>
      <c r="M228" t="n">
        <v>900</v>
      </c>
      <c r="N228" t="inlineStr">
        <is>
          <t>EU: 40 | US: 49.99</t>
        </is>
      </c>
      <c r="O228" t="inlineStr">
        <is>
          <t>EU: EUR | US: USD</t>
        </is>
      </c>
      <c r="P228" t="inlineStr">
        <is>
          <t>EU: 438019877908 | US: 438018656450</t>
        </is>
      </c>
      <c r="Q228" t="n">
        <v>3</v>
      </c>
      <c r="R228" t="n">
        <v>3</v>
      </c>
      <c r="S228">
        <f>IF(Q228="","",MAX(Q228-R228,0))</f>
        <v/>
      </c>
      <c r="T228" s="3">
        <f>IF(Q228="","",MIN(R228/Q228,1))</f>
        <v/>
      </c>
      <c r="U228" t="inlineStr">
        <is>
          <t>Animal; Fozzie Bear; Kermit the Frog; Miss Piggy</t>
        </is>
      </c>
      <c r="V228" t="inlineStr"/>
      <c r="W228" t="inlineStr">
        <is>
          <t>evidenced</t>
        </is>
      </c>
      <c r="X228" t="inlineStr">
        <is>
          <t>Medium</t>
        </is>
      </c>
      <c r="Y228" t="inlineStr">
        <is>
          <t>https://www.disneystore.com/the-muppets-celebrating-disney-pins-25-pin-set-3-limited-edition-438018656450.html</t>
        </is>
      </c>
      <c r="Z228" t="inlineStr">
        <is>
          <t>official</t>
        </is>
      </c>
      <c r="AA228" t="inlineStr">
        <is>
          <t>https://www.disneystore.eu/celebrating-disney-pins-25th-anniversary-limited-edition-pin-set-series-3-of-4-438019877908.html</t>
        </is>
      </c>
      <c r="AB228" t="n">
        <v>4</v>
      </c>
      <c r="AC228" t="inlineStr"/>
      <c r="AD228" t="inlineStr"/>
      <c r="AE228" t="inlineStr"/>
      <c r="AF228" t="inlineStr"/>
      <c r="AG228" t="inlineStr">
        <is>
          <t>dsuk/2025/celebrating-disney-pins-25-series-3</t>
        </is>
      </c>
    </row>
    <row r="229">
      <c r="A229" t="inlineStr">
        <is>
          <t>PHS-0228</t>
        </is>
      </c>
      <c r="B229" t="inlineStr">
        <is>
          <t>Mickey and Friends Celebrating Disney Pins 25th Anniversary Limited Edition Pin Set Series, 4 of 4</t>
        </is>
      </c>
      <c r="C229" t="inlineStr">
        <is>
          <t>Disney Store UK</t>
        </is>
      </c>
      <c r="D229" t="inlineStr"/>
      <c r="E229" t="inlineStr">
        <is>
          <t>2025-10-08</t>
        </is>
      </c>
      <c r="F229" t="n">
        <v>2025</v>
      </c>
      <c r="G229" t="inlineStr"/>
      <c r="H229" t="inlineStr">
        <is>
          <t>Series 4 of 4 (Mickey and Friends)</t>
        </is>
      </c>
      <c r="I229" t="inlineStr"/>
      <c r="J229" t="inlineStr"/>
      <c r="K229" t="inlineStr"/>
      <c r="L229" t="inlineStr">
        <is>
          <t>limited edition</t>
        </is>
      </c>
      <c r="M229" t="n">
        <v>900</v>
      </c>
      <c r="N229" t="inlineStr">
        <is>
          <t>UK: 35 | EU: 40</t>
        </is>
      </c>
      <c r="O229" t="inlineStr">
        <is>
          <t>UK: GBP | EU: EUR</t>
        </is>
      </c>
      <c r="P229" t="inlineStr">
        <is>
          <t>438010161518</t>
        </is>
      </c>
      <c r="Q229" t="n">
        <v>3</v>
      </c>
      <c r="R229" t="n">
        <v>3</v>
      </c>
      <c r="S229">
        <f>IF(Q229="","",MAX(Q229-R229,0))</f>
        <v/>
      </c>
      <c r="T229" s="3">
        <f>IF(Q229="","",MIN(R229/Q229,1))</f>
        <v/>
      </c>
      <c r="U229" t="inlineStr">
        <is>
          <t>Daisy Duck; Mickey Mouse; Minnie Mouse; Pluto</t>
        </is>
      </c>
      <c r="V229" t="inlineStr"/>
      <c r="W229" t="inlineStr">
        <is>
          <t>evidenced</t>
        </is>
      </c>
      <c r="X229" t="inlineStr">
        <is>
          <t>Medium</t>
        </is>
      </c>
      <c r="Y229" t="inlineStr">
        <is>
          <t>https://www.disneystore.co.uk/mickey-and-friends-celebrating-disney-pins-25th-anniversary-limited-edition-pin-set-series-4-of-4-438010161518.html</t>
        </is>
      </c>
      <c r="Z229" t="inlineStr">
        <is>
          <t>official</t>
        </is>
      </c>
      <c r="AA229" t="inlineStr">
        <is>
          <t>https://www.disneystore.eu/mickey-and-friends-celebrating-disney-pins-25th-anniversary-limited-edition-pin-set-series-4-of-4-438010161518.html</t>
        </is>
      </c>
      <c r="AB229" t="n">
        <v>3</v>
      </c>
      <c r="AC229" t="inlineStr"/>
      <c r="AD229" t="inlineStr"/>
      <c r="AE229" t="inlineStr"/>
      <c r="AF229" t="inlineStr"/>
      <c r="AG229" t="inlineStr">
        <is>
          <t>dsuk/2025/celebrating-disney-pins-25-series-4</t>
        </is>
      </c>
    </row>
    <row r="230">
      <c r="A230" t="inlineStr">
        <is>
          <t>PHS-0229</t>
        </is>
      </c>
      <c r="B230" t="inlineStr">
        <is>
          <t>The Magic of Disney</t>
        </is>
      </c>
      <c r="C230" t="inlineStr">
        <is>
          <t>Disney Store UK</t>
        </is>
      </c>
      <c r="D230" t="inlineStr"/>
      <c r="E230" t="inlineStr">
        <is>
          <t>2025-11-11</t>
        </is>
      </c>
      <c r="F230" t="n">
        <v>2025</v>
      </c>
      <c r="G230" t="inlineStr"/>
      <c r="H230" t="inlineStr"/>
      <c r="I230" t="inlineStr">
        <is>
          <t>limited edition spinners, standard and jumbo pins</t>
        </is>
      </c>
      <c r="J230" t="inlineStr"/>
      <c r="K230" t="inlineStr"/>
      <c r="L230" t="inlineStr">
        <is>
          <t>limited edition</t>
        </is>
      </c>
      <c r="M230" t="n">
        <v>600</v>
      </c>
      <c r="N230" t="inlineStr"/>
      <c r="O230" t="inlineStr"/>
      <c r="P230" t="inlineStr"/>
      <c r="Q230" t="n">
        <v>29</v>
      </c>
      <c r="R230" t="n">
        <v>6</v>
      </c>
      <c r="S230">
        <f>IF(Q230="","",MAX(Q230-R230,0))</f>
        <v/>
      </c>
      <c r="T230" s="3">
        <f>IF(Q230="","",MIN(R230/Q230,1))</f>
        <v/>
      </c>
      <c r="U230" t="inlineStr">
        <is>
          <t>Evil Queen; Jafar; Maleficent; Rapunzel; Ursula; Yzma</t>
        </is>
      </c>
      <c r="V230" t="inlineStr"/>
      <c r="W230" t="inlineStr">
        <is>
          <t>evidenced</t>
        </is>
      </c>
      <c r="X230" t="inlineStr">
        <is>
          <t>Medium</t>
        </is>
      </c>
      <c r="Y230" t="inlineStr">
        <is>
          <t>https://disneypinsblog.com/disney-store-at-selfridges-the-magic-of-disney-pin-trading-event/</t>
        </is>
      </c>
      <c r="Z230" t="inlineStr">
        <is>
          <t>secondary</t>
        </is>
      </c>
      <c r="AA230" t="inlineStr">
        <is>
          <t>https://disneypinventory.com/view_item.php?itemID=48199</t>
        </is>
      </c>
      <c r="AB230" t="n">
        <v>4</v>
      </c>
      <c r="AC230" t="inlineStr"/>
      <c r="AD230" t="inlineStr"/>
      <c r="AE230" t="inlineStr"/>
      <c r="AF230" t="inlineStr"/>
      <c r="AG230" t="inlineStr">
        <is>
          <t>dsuk/2025/magic-of-disney</t>
        </is>
      </c>
    </row>
    <row r="231">
      <c r="A231" t="inlineStr">
        <is>
          <t>PHS-0230</t>
        </is>
      </c>
      <c r="B231" t="inlineStr">
        <is>
          <t>The Magic of Disney Drop 2</t>
        </is>
      </c>
      <c r="C231" t="inlineStr">
        <is>
          <t>Disney Store UK</t>
        </is>
      </c>
      <c r="D231" t="inlineStr"/>
      <c r="E231" t="inlineStr">
        <is>
          <t>2025-11-17</t>
        </is>
      </c>
      <c r="F231" t="n">
        <v>2025</v>
      </c>
      <c r="G231" t="inlineStr">
        <is>
          <t>The Magic of Disney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9</v>
      </c>
      <c r="R231" t="n">
        <v>1</v>
      </c>
      <c r="S231">
        <f>IF(Q231="","",MAX(Q231-R231,0))</f>
        <v/>
      </c>
      <c r="T231" s="3">
        <f>IF(Q231="","",MIN(R231/Q231,1))</f>
        <v/>
      </c>
      <c r="U231" t="inlineStr">
        <is>
          <t>Dr. Facilier</t>
        </is>
      </c>
      <c r="V231" t="inlineStr"/>
      <c r="W231" t="inlineStr">
        <is>
          <t>evidenced</t>
        </is>
      </c>
      <c r="X231" t="inlineStr">
        <is>
          <t>Low</t>
        </is>
      </c>
      <c r="Y231" t="inlineStr">
        <is>
          <t>https://disneypinventory.com/view_item.php?itemID=48199</t>
        </is>
      </c>
      <c r="Z231" t="inlineStr">
        <is>
          <t>secondary</t>
        </is>
      </c>
      <c r="AA231" t="inlineStr">
        <is>
          <t>https://mypincentral.com/pin/220842</t>
        </is>
      </c>
      <c r="AB231" t="n">
        <v>3</v>
      </c>
      <c r="AC231" t="inlineStr"/>
      <c r="AD231" t="inlineStr"/>
      <c r="AE231" t="inlineStr"/>
      <c r="AF231" t="inlineStr"/>
      <c r="AG231" t="inlineStr">
        <is>
          <t>dsuk/2025/magic-of-disney/drop-2</t>
        </is>
      </c>
    </row>
    <row r="232">
      <c r="A232" t="inlineStr">
        <is>
          <t>PHS-0231</t>
        </is>
      </c>
      <c r="B232" t="inlineStr">
        <is>
          <t>Ariel and King Triton Father's Day 2026 Limited Release Pin</t>
        </is>
      </c>
      <c r="C232" t="inlineStr">
        <is>
          <t>Disney Store UK</t>
        </is>
      </c>
      <c r="D232" t="inlineStr"/>
      <c r="E232" t="inlineStr">
        <is>
          <t>2026-06-02</t>
        </is>
      </c>
      <c r="F232" t="n">
        <v>2026</v>
      </c>
      <c r="G232" t="inlineStr"/>
      <c r="H232" t="inlineStr"/>
      <c r="I232" t="inlineStr"/>
      <c r="J232" t="inlineStr"/>
      <c r="K232" t="inlineStr"/>
      <c r="L232" t="inlineStr">
        <is>
          <t>limited release</t>
        </is>
      </c>
      <c r="M232" t="inlineStr"/>
      <c r="N232" t="inlineStr">
        <is>
          <t>UK: 16 | US: 21.99</t>
        </is>
      </c>
      <c r="O232" t="inlineStr">
        <is>
          <t>UK: GBP | US: USD</t>
        </is>
      </c>
      <c r="P232" t="inlineStr"/>
      <c r="Q232" t="n">
        <v>1</v>
      </c>
      <c r="R232" t="n">
        <v>1</v>
      </c>
      <c r="S232">
        <f>IF(Q232="","",MAX(Q232-R232,0))</f>
        <v/>
      </c>
      <c r="T232" s="3">
        <f>IF(Q232="","",MIN(R232/Q232,1))</f>
        <v/>
      </c>
      <c r="U232" t="inlineStr">
        <is>
          <t>Ariel; King Triton</t>
        </is>
      </c>
      <c r="V232" t="inlineStr"/>
      <c r="W232" t="inlineStr">
        <is>
          <t>evidenced</t>
        </is>
      </c>
      <c r="X232" t="inlineStr">
        <is>
          <t>Medium</t>
        </is>
      </c>
      <c r="Y232" t="inlineStr">
        <is>
          <t>https://www.disneystore.co.uk/fathers-day</t>
        </is>
      </c>
      <c r="Z232" t="inlineStr">
        <is>
          <t>official</t>
        </is>
      </c>
      <c r="AA232" t="inlineStr">
        <is>
          <t>https://www.disneystore.com/ariel-and-king-triton-fathers-day-2026-pin-the-little-mermaid-limited-release-438010245805.html</t>
        </is>
      </c>
      <c r="AB232" t="n">
        <v>3</v>
      </c>
      <c r="AC232" t="inlineStr"/>
      <c r="AD232" t="inlineStr"/>
      <c r="AE232" t="inlineStr"/>
      <c r="AF232" t="inlineStr"/>
      <c r="AG232" t="inlineStr">
        <is>
          <t>dsuk/2026/ariel-king-triton-fathers-day-2026</t>
        </is>
      </c>
    </row>
    <row r="233">
      <c r="A233" t="inlineStr">
        <is>
          <t>PHS-0232</t>
        </is>
      </c>
      <c r="B233" t="inlineStr">
        <is>
          <t>Experiment 626 mystery pin set (626 Day 2026)</t>
        </is>
      </c>
      <c r="C233" t="inlineStr">
        <is>
          <t>Disney Store UK</t>
        </is>
      </c>
      <c r="D233" t="inlineStr"/>
      <c r="E233" t="inlineStr">
        <is>
          <t>2026-06-30</t>
        </is>
      </c>
      <c r="F233" t="n">
        <v>2026</v>
      </c>
      <c r="G233" t="inlineStr"/>
      <c r="H233" t="inlineStr"/>
      <c r="I233" t="inlineStr">
        <is>
          <t>mystery blind pack</t>
        </is>
      </c>
      <c r="J233" t="n">
        <v>2</v>
      </c>
      <c r="K233" t="inlineStr"/>
      <c r="L233" t="inlineStr">
        <is>
          <t>limited release</t>
        </is>
      </c>
      <c r="M233" t="inlineStr"/>
      <c r="N233" t="n">
        <v>25</v>
      </c>
      <c r="O233" t="inlineStr">
        <is>
          <t>GBP</t>
        </is>
      </c>
      <c r="P233" t="inlineStr">
        <is>
          <t>438010927985</t>
        </is>
      </c>
      <c r="Q233" t="n">
        <v>10</v>
      </c>
      <c r="R233" t="n">
        <v>10</v>
      </c>
      <c r="S233">
        <f>IF(Q233="","",MAX(Q233-R233,0))</f>
        <v/>
      </c>
      <c r="T233" s="3">
        <f>IF(Q233="","",MIN(R233/Q233,1))</f>
        <v/>
      </c>
      <c r="U233" t="inlineStr">
        <is>
          <t>627; Experiment 627; Stitch; Angel; Jumba Jookiba; Kixx; Leroy; Reuben; Richter; Sinker; Splodyhead; Yaarp</t>
        </is>
      </c>
      <c r="V233" t="inlineStr"/>
      <c r="W233" t="inlineStr">
        <is>
          <t>evidenced</t>
        </is>
      </c>
      <c r="X233" t="inlineStr">
        <is>
          <t>Medium</t>
        </is>
      </c>
      <c r="Y233" t="inlineStr">
        <is>
          <t>https://www.disneystore.asia/experiment-626-2026-mystery-pin-blind-pack-lilo-stitch-438010927985.html</t>
        </is>
      </c>
      <c r="Z233" t="inlineStr">
        <is>
          <t>official</t>
        </is>
      </c>
      <c r="AA233" t="inlineStr">
        <is>
          <t>https://www.disneystore.co.uk/collectibles/limited-edition</t>
        </is>
      </c>
      <c r="AB233" t="n">
        <v>3</v>
      </c>
      <c r="AC233" t="inlineStr"/>
      <c r="AD233" t="inlineStr"/>
      <c r="AE233" t="inlineStr"/>
      <c r="AF233" t="inlineStr"/>
      <c r="AG233" t="inlineStr">
        <is>
          <t>dsuk/2026/experiment-626-day-2026-mystery</t>
        </is>
      </c>
    </row>
    <row r="234">
      <c r="A234" t="inlineStr">
        <is>
          <t>PHS-0233</t>
        </is>
      </c>
      <c r="B234" t="inlineStr">
        <is>
          <t>Tails of Friendship Pin Trading Event (London)</t>
        </is>
      </c>
      <c r="C234" t="inlineStr">
        <is>
          <t>Disney Store UK</t>
        </is>
      </c>
      <c r="D234" t="inlineStr"/>
      <c r="E234" t="inlineStr">
        <is>
          <t>2026-07-01</t>
        </is>
      </c>
      <c r="F234" t="n">
        <v>2026</v>
      </c>
      <c r="G234" t="inlineStr"/>
      <c r="H234" t="inlineStr"/>
      <c r="I234" t="inlineStr">
        <is>
          <t>event release: 8 LE pins + 1 location-exclusive pin, standard and jumbo</t>
        </is>
      </c>
      <c r="J234" t="inlineStr"/>
      <c r="K234" t="inlineStr"/>
      <c r="L234" t="inlineStr">
        <is>
          <t>limited edition</t>
        </is>
      </c>
      <c r="M234" t="inlineStr"/>
      <c r="N234" t="inlineStr"/>
      <c r="O234" t="inlineStr"/>
      <c r="P234" t="inlineStr"/>
      <c r="Q234" t="n">
        <v>9</v>
      </c>
      <c r="R234" t="n">
        <v>6</v>
      </c>
      <c r="S234">
        <f>IF(Q234="","",MAX(Q234-R234,0))</f>
        <v/>
      </c>
      <c r="T234" s="3">
        <f>IF(Q234="","",MIN(R234/Q234,1))</f>
        <v/>
      </c>
      <c r="U234" t="inlineStr">
        <is>
          <t>Perdita; Pongo; Lucifer; Pascal; Rhino; Stitch; Sven</t>
        </is>
      </c>
      <c r="V234" t="inlineStr"/>
      <c r="W234" t="inlineStr">
        <is>
          <t>evidenced</t>
        </is>
      </c>
      <c r="X234" t="inlineStr">
        <is>
          <t>Low</t>
        </is>
      </c>
      <c r="Y234" t="inlineStr">
        <is>
          <t>https://www.disneystore.com.au/101-dalmatians-limited-edition-pin-438011727072.html</t>
        </is>
      </c>
      <c r="Z234" t="inlineStr">
        <is>
          <t>official</t>
        </is>
      </c>
      <c r="AA234" t="inlineStr">
        <is>
          <t>https://www.disneystore.com.au/nz/rhino-limited-edition-pin-438011731192.html</t>
        </is>
      </c>
      <c r="AB234" t="n">
        <v>3</v>
      </c>
      <c r="AC234" t="inlineStr"/>
      <c r="AD234" t="inlineStr"/>
      <c r="AE234" t="inlineStr"/>
      <c r="AF234" t="inlineStr"/>
      <c r="AG234" t="inlineStr">
        <is>
          <t>dsuk/2026/tails-of-friendship-event-london</t>
        </is>
      </c>
    </row>
    <row r="235">
      <c r="A235" t="inlineStr">
        <is>
          <t>PHS-0234</t>
        </is>
      </c>
      <c r="B235" t="inlineStr">
        <is>
          <t>Spider-Man and Hulk Limited Release Pin, Spider-Man: Brand New Day</t>
        </is>
      </c>
      <c r="C235" t="inlineStr">
        <is>
          <t>Disney Store UK</t>
        </is>
      </c>
      <c r="D235" t="inlineStr"/>
      <c r="E235" t="inlineStr">
        <is>
          <t>2026-07-07</t>
        </is>
      </c>
      <c r="F235" t="n">
        <v>2026</v>
      </c>
      <c r="G235" t="inlineStr"/>
      <c r="H235" t="inlineStr"/>
      <c r="I235" t="inlineStr"/>
      <c r="J235" t="inlineStr"/>
      <c r="K235" t="inlineStr"/>
      <c r="L235" t="inlineStr">
        <is>
          <t>limited release</t>
        </is>
      </c>
      <c r="M235" t="inlineStr"/>
      <c r="N235" t="n">
        <v>16</v>
      </c>
      <c r="O235" t="inlineStr">
        <is>
          <t>GBP</t>
        </is>
      </c>
      <c r="P235" t="inlineStr">
        <is>
          <t>438011206980</t>
        </is>
      </c>
      <c r="Q235" t="n">
        <v>1</v>
      </c>
      <c r="R235" t="n">
        <v>1</v>
      </c>
      <c r="S235">
        <f>IF(Q235="","",MAX(Q235-R235,0))</f>
        <v/>
      </c>
      <c r="T235" s="3">
        <f>IF(Q235="","",MIN(R235/Q235,1))</f>
        <v/>
      </c>
      <c r="U235" t="inlineStr">
        <is>
          <t>Hulk; Spider-Man</t>
        </is>
      </c>
      <c r="V235" t="inlineStr"/>
      <c r="W235" t="inlineStr">
        <is>
          <t>evidenced</t>
        </is>
      </c>
      <c r="X235" t="inlineStr">
        <is>
          <t>Medium</t>
        </is>
      </c>
      <c r="Y235" t="inlineStr">
        <is>
          <t>https://www.disneystore.co.uk/spider-man-and-hulk-limited-release-pin-spider-man-brand-new-day-438011206980.html</t>
        </is>
      </c>
      <c r="Z235" t="inlineStr">
        <is>
          <t>official</t>
        </is>
      </c>
      <c r="AA235" t="inlineStr">
        <is>
          <t>https://www.disneystore.eu/spider-man-and-hulk-limited-release-pin-spider-man-brand-new-day-438011206980.html</t>
        </is>
      </c>
      <c r="AB235" t="n">
        <v>5</v>
      </c>
      <c r="AC235" t="inlineStr"/>
      <c r="AD235" t="inlineStr"/>
      <c r="AE235" t="inlineStr"/>
      <c r="AF235" t="inlineStr"/>
      <c r="AG235" t="inlineStr">
        <is>
          <t>dsuk/2026/spider-man-hulk-brand-new-day-lr-pin</t>
        </is>
      </c>
    </row>
    <row r="236">
      <c r="A236" t="inlineStr">
        <is>
          <t>PHS-0235</t>
        </is>
      </c>
      <c r="B236" t="inlineStr">
        <is>
          <t>Disney100 limited edition oversized pin</t>
        </is>
      </c>
      <c r="C236" t="inlineStr">
        <is>
          <t>Walt Disney World</t>
        </is>
      </c>
      <c r="D236" t="inlineStr"/>
      <c r="E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</v>
      </c>
      <c r="R236" t="n">
        <v>1</v>
      </c>
      <c r="S236">
        <f>IF(Q236="","",MAX(Q236-R236,0))</f>
        <v/>
      </c>
      <c r="T236" s="3">
        <f>IF(Q236="","",MIN(R236/Q236,1))</f>
        <v/>
      </c>
      <c r="U236" t="inlineStr">
        <is>
          <t>Chip; Dale; Donald Duck; Goofy; Mickey Mouse; Minnie Mouse; Pluto; Tinker Bell</t>
        </is>
      </c>
      <c r="V236" t="inlineStr"/>
      <c r="W236" t="inlineStr">
        <is>
          <t>evidenced</t>
        </is>
      </c>
      <c r="X236" t="inlineStr">
        <is>
          <t>Low</t>
        </is>
      </c>
      <c r="Y236" t="inlineStr">
        <is>
          <t>https://wdwnt.com/2023/01/disney-100th-anniversary-plush-pins-wdw/</t>
        </is>
      </c>
      <c r="Z236" t="inlineStr">
        <is>
          <t>secondary</t>
        </is>
      </c>
      <c r="AA236" t="inlineStr"/>
      <c r="AB236" t="n">
        <v>1</v>
      </c>
      <c r="AC236" t="inlineStr"/>
      <c r="AD236" t="inlineStr"/>
      <c r="AE236" t="inlineStr"/>
      <c r="AF236" t="inlineStr"/>
      <c r="AG236" t="inlineStr">
        <is>
          <t>wdw/2023/disney100-oversized-le-pin</t>
        </is>
      </c>
    </row>
    <row r="237">
      <c r="A237" t="inlineStr">
        <is>
          <t>PHS-0236</t>
        </is>
      </c>
      <c r="B237" t="inlineStr">
        <is>
          <t>2023 EPCOT International Festival of the Arts pins</t>
        </is>
      </c>
      <c r="C237" t="inlineStr">
        <is>
          <t>Walt Disney World</t>
        </is>
      </c>
      <c r="D237" t="inlineStr"/>
      <c r="E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>
        <f>IF(Q237="","",MAX(Q237-R237,0))</f>
        <v/>
      </c>
      <c r="T237" s="3">
        <f>IF(Q237="","",MIN(R237/Q237,1))</f>
        <v/>
      </c>
      <c r="U237" t="inlineStr">
        <is>
          <t>Figment</t>
        </is>
      </c>
      <c r="V237" t="inlineStr"/>
      <c r="W237" t="inlineStr">
        <is>
          <t>evidenced (held)</t>
        </is>
      </c>
      <c r="X237" t="inlineStr">
        <is>
          <t>Low</t>
        </is>
      </c>
      <c r="Y237" t="inlineStr">
        <is>
          <t>https://wdwnt.com/2023/01/limited-merchandise-2023-epcot-festival-of-arts/</t>
        </is>
      </c>
      <c r="Z237" t="inlineStr">
        <is>
          <t>secondary</t>
        </is>
      </c>
      <c r="AA237" t="inlineStr"/>
      <c r="AB237" t="n">
        <v>1</v>
      </c>
      <c r="AC237" t="inlineStr"/>
      <c r="AD237" t="inlineStr"/>
      <c r="AE237" t="inlineStr"/>
      <c r="AF237" t="inlineStr"/>
      <c r="AG237" t="inlineStr">
        <is>
          <t>wdw/2023/epcot-festival-of-the-arts-2023</t>
        </is>
      </c>
    </row>
    <row r="238">
      <c r="A238" t="inlineStr">
        <is>
          <t>PHS-0237</t>
        </is>
      </c>
      <c r="B238" t="inlineStr">
        <is>
          <t>EPCOT International Festival of the Holidays 2023 pins</t>
        </is>
      </c>
      <c r="C238" t="inlineStr">
        <is>
          <t>Walt Disney World</t>
        </is>
      </c>
      <c r="D238" t="inlineStr"/>
      <c r="E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>
        <f>IF(Q238="","",MAX(Q238-R238,0))</f>
        <v/>
      </c>
      <c r="T238" s="3">
        <f>IF(Q238="","",MIN(R238/Q238,1))</f>
        <v/>
      </c>
      <c r="U238" t="inlineStr">
        <is>
          <t>Annual Passholder pin; Logo pin; Seasons Greetings pin</t>
        </is>
      </c>
      <c r="V238" t="inlineStr"/>
      <c r="W238" t="inlineStr">
        <is>
          <t>evidenced</t>
        </is>
      </c>
      <c r="X238" t="inlineStr">
        <is>
          <t>Low</t>
        </is>
      </c>
      <c r="Y238" t="inlineStr">
        <is>
          <t>https://disneypinsblog.com/epcot-international-festival-of-the-holidays-2023-disney-pins/</t>
        </is>
      </c>
      <c r="Z238" t="inlineStr">
        <is>
          <t>secondary</t>
        </is>
      </c>
      <c r="AA238" t="inlineStr">
        <is>
          <t>https://wdwnt.com/2023/08/christmas-festival-of-the-holidays-2023-pins/</t>
        </is>
      </c>
      <c r="AB238" t="n">
        <v>2</v>
      </c>
      <c r="AC238" t="inlineStr"/>
      <c r="AD238" t="inlineStr"/>
      <c r="AE238" t="inlineStr"/>
      <c r="AF238" t="inlineStr"/>
      <c r="AG238" t="inlineStr">
        <is>
          <t>wdw/2023/epcot-festival-of-the-holidays-2023</t>
        </is>
      </c>
    </row>
    <row r="239">
      <c r="A239" t="inlineStr">
        <is>
          <t>PHS-0238</t>
        </is>
      </c>
      <c r="B239" t="inlineStr">
        <is>
          <t>Epcot International Flower &amp; Garden Festival 2023 pins</t>
        </is>
      </c>
      <c r="C239" t="inlineStr">
        <is>
          <t>Walt Disney World</t>
        </is>
      </c>
      <c r="D239" t="inlineStr"/>
      <c r="E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7</v>
      </c>
      <c r="S239">
        <f>IF(Q239="","",MAX(Q239-R239,0))</f>
        <v/>
      </c>
      <c r="T239" s="3">
        <f>IF(Q239="","",MIN(R239/Q239,1))</f>
        <v/>
      </c>
      <c r="U239" t="inlineStr">
        <is>
          <t>Figment; Orange Bird; Snow White</t>
        </is>
      </c>
      <c r="V239" t="inlineStr"/>
      <c r="W239" t="inlineStr">
        <is>
          <t>evidenced (held)</t>
        </is>
      </c>
      <c r="X239" t="inlineStr">
        <is>
          <t>Low</t>
        </is>
      </c>
      <c r="Y239" t="inlineStr">
        <is>
          <t>https://disneypinsblog.com/epcot-international-flower-garden-festival-2023-disney-pins/</t>
        </is>
      </c>
      <c r="Z239" t="inlineStr">
        <is>
          <t>secondary</t>
        </is>
      </c>
      <c r="AA239" t="inlineStr">
        <is>
          <t>https://mickeyblog.com/2023/03/01/all-the-merchandise-at-the-2023-epcot-flower-garden-festival/</t>
        </is>
      </c>
      <c r="AB239" t="n">
        <v>4</v>
      </c>
      <c r="AC239" t="inlineStr"/>
      <c r="AD239" t="inlineStr"/>
      <c r="AE239" t="inlineStr"/>
      <c r="AF239" t="inlineStr"/>
      <c r="AG239" t="inlineStr">
        <is>
          <t>wdw/2023/epcot-flower-garden-2023</t>
        </is>
      </c>
    </row>
    <row r="240">
      <c r="A240" t="inlineStr">
        <is>
          <t>PHS-0239</t>
        </is>
      </c>
      <c r="B240" t="inlineStr">
        <is>
          <t>Flower &amp; Garden 2023 Passholder Pin Set</t>
        </is>
      </c>
      <c r="C240" t="inlineStr">
        <is>
          <t>Walt Disney World</t>
        </is>
      </c>
      <c r="D240" t="inlineStr"/>
      <c r="E240" t="inlineStr"/>
      <c r="G240" t="inlineStr"/>
      <c r="H240" t="inlineStr"/>
      <c r="I240" t="inlineStr">
        <is>
          <t>Annual Passholder exclusive 3-pin set</t>
        </is>
      </c>
      <c r="J240" t="inlineStr"/>
      <c r="K240" t="inlineStr"/>
      <c r="L240" t="inlineStr">
        <is>
          <t>limited edition</t>
        </is>
      </c>
      <c r="M240" t="n">
        <v>5000</v>
      </c>
      <c r="N240" t="n">
        <v>29.99</v>
      </c>
      <c r="O240" t="inlineStr">
        <is>
          <t>USD</t>
        </is>
      </c>
      <c r="P240" t="inlineStr"/>
      <c r="Q240" t="n">
        <v>3</v>
      </c>
      <c r="R240" t="n">
        <v>3</v>
      </c>
      <c r="S240">
        <f>IF(Q240="","",MAX(Q240-R240,0))</f>
        <v/>
      </c>
      <c r="T240" s="3">
        <f>IF(Q240="","",MIN(R240/Q240,1))</f>
        <v/>
      </c>
      <c r="U240" t="inlineStr">
        <is>
          <t>Figment; Orange Bird; Snow White</t>
        </is>
      </c>
      <c r="V240" t="inlineStr"/>
      <c r="W240" t="inlineStr">
        <is>
          <t>evidenced</t>
        </is>
      </c>
      <c r="X240" t="inlineStr">
        <is>
          <t>Low</t>
        </is>
      </c>
      <c r="Y240" t="inlineStr">
        <is>
          <t>https://disneypinsblog.com/epcot-international-flower-garden-festival-2023-disney-pins/</t>
        </is>
      </c>
      <c r="Z240" t="inlineStr">
        <is>
          <t>secondary</t>
        </is>
      </c>
      <c r="AA240" t="inlineStr">
        <is>
          <t>https://www.disneyfoodblog.com/2023/03/01/hide-your-wallet-all-the-2023-epcot-flower-and-garden-festival-merchandise-is-here/</t>
        </is>
      </c>
      <c r="AB240" t="n">
        <v>2</v>
      </c>
      <c r="AC240" t="inlineStr"/>
      <c r="AD240" t="inlineStr"/>
      <c r="AE240" t="inlineStr"/>
      <c r="AF240" t="inlineStr"/>
      <c r="AG240" t="inlineStr">
        <is>
          <t>wdw/2023/epcot-flower-garden-2023-passholder-pin-set</t>
        </is>
      </c>
    </row>
    <row r="241">
      <c r="A241" t="inlineStr">
        <is>
          <t>PHS-0240</t>
        </is>
      </c>
      <c r="B241" t="inlineStr">
        <is>
          <t>Happy Holidays limited edition pin 2023</t>
        </is>
      </c>
      <c r="C241" t="inlineStr">
        <is>
          <t>Walt Disney World</t>
        </is>
      </c>
      <c r="D241" t="inlineStr"/>
      <c r="E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n">
        <v>1</v>
      </c>
      <c r="S241">
        <f>IF(Q241="","",MAX(Q241-R241,0))</f>
        <v/>
      </c>
      <c r="T241" s="3">
        <f>IF(Q241="","",MIN(R241/Q241,1))</f>
        <v/>
      </c>
      <c r="U241" t="inlineStr">
        <is>
          <t>Happy Holidays</t>
        </is>
      </c>
      <c r="V241" t="inlineStr"/>
      <c r="W241" t="inlineStr">
        <is>
          <t>evidenced</t>
        </is>
      </c>
      <c r="X241" t="inlineStr">
        <is>
          <t>Low</t>
        </is>
      </c>
      <c r="Y241" t="inlineStr">
        <is>
          <t>https://wdwnt.com/2023/10/new-happy-holidays-pin-passholder-exclusive-holiday-pin-set-at-walt-disney-world/</t>
        </is>
      </c>
      <c r="Z241" t="inlineStr">
        <is>
          <t>secondary</t>
        </is>
      </c>
      <c r="AA241" t="inlineStr"/>
      <c r="AB241" t="n">
        <v>1</v>
      </c>
      <c r="AC241" t="inlineStr"/>
      <c r="AD241" t="inlineStr"/>
      <c r="AE241" t="inlineStr"/>
      <c r="AF241" t="inlineStr"/>
      <c r="AG241" t="inlineStr">
        <is>
          <t>wdw/2023/happy-holidays-le-pin</t>
        </is>
      </c>
    </row>
    <row r="242">
      <c r="A242" t="inlineStr">
        <is>
          <t>PHS-0241</t>
        </is>
      </c>
      <c r="B242" t="inlineStr">
        <is>
          <t>Passholder-Exclusive Holiday Pin Set 2023</t>
        </is>
      </c>
      <c r="C242" t="inlineStr">
        <is>
          <t>Walt Disney World</t>
        </is>
      </c>
      <c r="D242" t="inlineStr"/>
      <c r="E242" t="inlineStr"/>
      <c r="G242" t="inlineStr"/>
      <c r="H242" t="inlineStr"/>
      <c r="I242" t="inlineStr">
        <is>
          <t>Annual Passholder exclusive 2-pin set</t>
        </is>
      </c>
      <c r="J242" t="inlineStr"/>
      <c r="K242" t="inlineStr"/>
      <c r="L242" t="inlineStr"/>
      <c r="M242" t="inlineStr"/>
      <c r="N242" t="n">
        <v>44.99</v>
      </c>
      <c r="O242" t="inlineStr">
        <is>
          <t>USD</t>
        </is>
      </c>
      <c r="P242" t="inlineStr"/>
      <c r="Q242" t="n">
        <v>2</v>
      </c>
      <c r="R242" t="n">
        <v>2</v>
      </c>
      <c r="S242">
        <f>IF(Q242="","",MAX(Q242-R242,0))</f>
        <v/>
      </c>
      <c r="T242" s="3">
        <f>IF(Q242="","",MIN(R242/Q242,1))</f>
        <v/>
      </c>
      <c r="U242" t="inlineStr">
        <is>
          <t>Mickey Mouse; Minnie Mouse; Pluto</t>
        </is>
      </c>
      <c r="V242" t="inlineStr"/>
      <c r="W242" t="inlineStr">
        <is>
          <t>evidenced</t>
        </is>
      </c>
      <c r="X242" t="inlineStr">
        <is>
          <t>Low</t>
        </is>
      </c>
      <c r="Y242" t="inlineStr">
        <is>
          <t>https://wdwnt.com/2023/10/new-happy-holidays-pin-passholder-exclusive-holiday-pin-set-at-walt-disney-world/</t>
        </is>
      </c>
      <c r="Z242" t="inlineStr">
        <is>
          <t>secondary</t>
        </is>
      </c>
      <c r="AA242" t="inlineStr"/>
      <c r="AB242" t="n">
        <v>1</v>
      </c>
      <c r="AC242" t="inlineStr"/>
      <c r="AD242" t="inlineStr"/>
      <c r="AE242" t="inlineStr"/>
      <c r="AF242" t="inlineStr"/>
      <c r="AG242" t="inlineStr">
        <is>
          <t>wdw/2023/passholder-holiday-pin-set</t>
        </is>
      </c>
    </row>
    <row r="243">
      <c r="A243" t="inlineStr">
        <is>
          <t>PHS-0242</t>
        </is>
      </c>
      <c r="B243" t="inlineStr">
        <is>
          <t>Mickey's PhilharMagic 20th Anniversary pin</t>
        </is>
      </c>
      <c r="C243" t="inlineStr">
        <is>
          <t>Walt Disney World</t>
        </is>
      </c>
      <c r="D243" t="inlineStr"/>
      <c r="E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n">
        <v>1</v>
      </c>
      <c r="S243">
        <f>IF(Q243="","",MAX(Q243-R243,0))</f>
        <v/>
      </c>
      <c r="T243" s="3">
        <f>IF(Q243="","",MIN(R243/Q243,1))</f>
        <v/>
      </c>
      <c r="U243" t="inlineStr">
        <is>
          <t>Donald Duck</t>
        </is>
      </c>
      <c r="V243" t="inlineStr"/>
      <c r="W243" t="inlineStr">
        <is>
          <t>evidenced</t>
        </is>
      </c>
      <c r="X243" t="inlineStr">
        <is>
          <t>Low</t>
        </is>
      </c>
      <c r="Y243" t="inlineStr">
        <is>
          <t>https://wdwnt.com/2023/10/new-philharmagic-20th-anniversary-pin-christmas-pins-star-wars-pins-and-more-at-walt-disney-world/</t>
        </is>
      </c>
      <c r="Z243" t="inlineStr">
        <is>
          <t>secondary</t>
        </is>
      </c>
      <c r="AA243" t="inlineStr"/>
      <c r="AB243" t="n">
        <v>1</v>
      </c>
      <c r="AC243" t="inlineStr"/>
      <c r="AD243" t="inlineStr"/>
      <c r="AE243" t="inlineStr"/>
      <c r="AF243" t="inlineStr"/>
      <c r="AG243" t="inlineStr">
        <is>
          <t>wdw/2023/philharmagic-20th-anniversary</t>
        </is>
      </c>
    </row>
    <row r="244">
      <c r="A244" t="inlineStr">
        <is>
          <t>PHS-0243</t>
        </is>
      </c>
      <c r="B244" t="inlineStr">
        <is>
          <t>Food &amp; Wine 2024 Mystery Pin Set</t>
        </is>
      </c>
      <c r="C244" t="inlineStr">
        <is>
          <t>Walt Disney World</t>
        </is>
      </c>
      <c r="D244" t="inlineStr"/>
      <c r="E244" t="inlineStr"/>
      <c r="G244" t="inlineStr"/>
      <c r="H244" t="inlineStr"/>
      <c r="I244" t="inlineStr">
        <is>
          <t>mystery box</t>
        </is>
      </c>
      <c r="J244" t="n">
        <v>2</v>
      </c>
      <c r="K244" t="inlineStr"/>
      <c r="L244" t="inlineStr">
        <is>
          <t>limited release</t>
        </is>
      </c>
      <c r="M244" t="inlineStr"/>
      <c r="N244" t="n">
        <v>29.99</v>
      </c>
      <c r="O244" t="inlineStr">
        <is>
          <t>USD</t>
        </is>
      </c>
      <c r="P244" t="inlineStr"/>
      <c r="Q244" t="n">
        <v>10</v>
      </c>
      <c r="R244" t="n">
        <v>1</v>
      </c>
      <c r="S244">
        <f>IF(Q244="","",MAX(Q244-R244,0))</f>
        <v/>
      </c>
      <c r="T244" s="3">
        <f>IF(Q244="","",MIN(R244/Q244,1))</f>
        <v/>
      </c>
      <c r="U244" t="inlineStr">
        <is>
          <t>Chip</t>
        </is>
      </c>
      <c r="V244" t="inlineStr"/>
      <c r="W244" t="inlineStr">
        <is>
          <t>evidenced</t>
        </is>
      </c>
      <c r="X244" t="inlineStr">
        <is>
          <t>Low</t>
        </is>
      </c>
      <c r="Y244" t="inlineStr">
        <is>
          <t>https://disneypinsblog.com/epcot-international-food-wine-festival-2024-disney-pins/</t>
        </is>
      </c>
      <c r="Z244" t="inlineStr">
        <is>
          <t>secondary</t>
        </is>
      </c>
      <c r="AA244" t="inlineStr">
        <is>
          <t>https://mickeyblog.com/2024/08/29/all-of-epcots-new-2024-food-wine-festival-merchandise/</t>
        </is>
      </c>
      <c r="AB244" t="n">
        <v>4</v>
      </c>
      <c r="AC244" t="inlineStr"/>
      <c r="AD244" t="inlineStr"/>
      <c r="AE244" t="inlineStr"/>
      <c r="AF244" t="inlineStr"/>
      <c r="AG244" t="inlineStr">
        <is>
          <t>wdw/2024/epcot-food-wine-2024-mystery-pin-set</t>
        </is>
      </c>
    </row>
    <row r="245">
      <c r="A245" t="inlineStr">
        <is>
          <t>PHS-0244</t>
        </is>
      </c>
      <c r="B245" t="inlineStr">
        <is>
          <t>Mickey's Very Merry Christmas Party 2024 pins</t>
        </is>
      </c>
      <c r="C245" t="inlineStr">
        <is>
          <t>Walt Disney World</t>
        </is>
      </c>
      <c r="D245" t="inlineStr"/>
      <c r="E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4</v>
      </c>
      <c r="S245">
        <f>IF(Q245="","",MAX(Q245-R245,0))</f>
        <v/>
      </c>
      <c r="T245" s="3">
        <f>IF(Q245="","",MIN(R245/Q245,1))</f>
        <v/>
      </c>
      <c r="U245" t="inlineStr">
        <is>
          <t>Daisy Duck; Donald Duck; Goofy; Pluto; Mickey Mouse; Minnie Mouse; Toy Soldiers</t>
        </is>
      </c>
      <c r="V245" t="inlineStr"/>
      <c r="W245" t="inlineStr">
        <is>
          <t>evidenced</t>
        </is>
      </c>
      <c r="X245" t="inlineStr">
        <is>
          <t>Low</t>
        </is>
      </c>
      <c r="Y245" t="inlineStr">
        <is>
          <t>https://disneypinsblog.com/blogs/news/mickeys-very-merry-christmas-party-2024-disney-pins</t>
        </is>
      </c>
      <c r="Z245" t="inlineStr">
        <is>
          <t>secondary</t>
        </is>
      </c>
      <c r="AA245" t="inlineStr">
        <is>
          <t>https://disneypinsblog.com/mickeys-very-merry-christmas-party-2024-disney-pins/</t>
        </is>
      </c>
      <c r="AB245" t="n">
        <v>3</v>
      </c>
      <c r="AC245" t="inlineStr"/>
      <c r="AD245" t="inlineStr"/>
      <c r="AE245" t="inlineStr"/>
      <c r="AF245" t="inlineStr"/>
      <c r="AG245" t="inlineStr">
        <is>
          <t>wdw/2024/mvmcp-2024</t>
        </is>
      </c>
    </row>
    <row r="246">
      <c r="A246" t="inlineStr">
        <is>
          <t>PHS-0245</t>
        </is>
      </c>
      <c r="B246" t="inlineStr">
        <is>
          <t>Tiana's Bayou Adventure Grand Opening pins</t>
        </is>
      </c>
      <c r="C246" t="inlineStr">
        <is>
          <t>Walt Disney World</t>
        </is>
      </c>
      <c r="D246" t="inlineStr"/>
      <c r="E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2</v>
      </c>
      <c r="S246">
        <f>IF(Q246="","",MAX(Q246-R246,0))</f>
        <v/>
      </c>
      <c r="T246" s="3">
        <f>IF(Q246="","",MIN(R246/Q246,1))</f>
        <v/>
      </c>
      <c r="U246" t="inlineStr">
        <is>
          <t>Tiana; Louis</t>
        </is>
      </c>
      <c r="V246" t="inlineStr"/>
      <c r="W246" t="inlineStr">
        <is>
          <t>evidenced</t>
        </is>
      </c>
      <c r="X246" t="inlineStr">
        <is>
          <t>Low</t>
        </is>
      </c>
      <c r="Y246" t="inlineStr">
        <is>
          <t>https://disneypinsblog.com/tianas-bayou-adventure-grand-opening-disney-pins/</t>
        </is>
      </c>
      <c r="Z246" t="inlineStr">
        <is>
          <t>secondary</t>
        </is>
      </c>
      <c r="AA246" t="inlineStr">
        <is>
          <t>https://wdwnt.com/2024/06/tianas-bayou-adventure-opening-merchandise-wdw/</t>
        </is>
      </c>
      <c r="AB246" t="n">
        <v>2</v>
      </c>
      <c r="AC246" t="inlineStr"/>
      <c r="AD246" t="inlineStr"/>
      <c r="AE246" t="inlineStr"/>
      <c r="AF246" t="inlineStr"/>
      <c r="AG246" t="inlineStr">
        <is>
          <t>wdw/2024/tianas-bayou-adventure-grand-opening</t>
        </is>
      </c>
    </row>
    <row r="247">
      <c r="A247" t="inlineStr">
        <is>
          <t>PHS-0246</t>
        </is>
      </c>
      <c r="B247" t="inlineStr">
        <is>
          <t>The Disney Afternoon limited edition pin (Disney100)</t>
        </is>
      </c>
      <c r="C247" t="inlineStr">
        <is>
          <t>Walt Disney World</t>
        </is>
      </c>
      <c r="D247" t="inlineStr"/>
      <c r="E247" t="inlineStr">
        <is>
          <t>2023-02-07</t>
        </is>
      </c>
      <c r="F247" t="n">
        <v>2023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</v>
      </c>
      <c r="R247" t="n">
        <v>1</v>
      </c>
      <c r="S247">
        <f>IF(Q247="","",MAX(Q247-R247,0))</f>
        <v/>
      </c>
      <c r="T247" s="3">
        <f>IF(Q247="","",MIN(R247/Q247,1))</f>
        <v/>
      </c>
      <c r="U247" t="inlineStr">
        <is>
          <t>The Disney Afternoon Pin Collage</t>
        </is>
      </c>
      <c r="V247" t="inlineStr"/>
      <c r="W247" t="inlineStr">
        <is>
          <t>evidenced</t>
        </is>
      </c>
      <c r="X247" t="inlineStr">
        <is>
          <t>Low</t>
        </is>
      </c>
      <c r="Y247" t="inlineStr">
        <is>
          <t>https://disneypinsblog.com/new-disney-pins-february-2023-week-1/</t>
        </is>
      </c>
      <c r="Z247" t="inlineStr">
        <is>
          <t>secondary</t>
        </is>
      </c>
      <c r="AA247" t="inlineStr">
        <is>
          <t>https://wdwnt.com/2023/02/disney100-and-limited-edition-the-disney-afternoon-pins-now-available-at-walt-disney-world/</t>
        </is>
      </c>
      <c r="AB247" t="n">
        <v>2</v>
      </c>
      <c r="AC247" t="inlineStr"/>
      <c r="AD247" t="inlineStr"/>
      <c r="AE247" t="inlineStr"/>
      <c r="AF247" t="inlineStr"/>
      <c r="AG247" t="inlineStr">
        <is>
          <t>wdw/2023/the-disney-afternoon-le</t>
        </is>
      </c>
    </row>
    <row r="248">
      <c r="A248" t="inlineStr">
        <is>
          <t>PHS-0247</t>
        </is>
      </c>
      <c r="B248" t="inlineStr">
        <is>
          <t>TRON Lightcycle / Run Grand Opening pins</t>
        </is>
      </c>
      <c r="C248" t="inlineStr">
        <is>
          <t>Walt Disney World</t>
        </is>
      </c>
      <c r="D248" t="inlineStr"/>
      <c r="E248" t="inlineStr">
        <is>
          <t>2023-04-04</t>
        </is>
      </c>
      <c r="F248" t="n">
        <v>2023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3</v>
      </c>
      <c r="S248">
        <f>IF(Q248="","",MAX(Q248-R248,0))</f>
        <v/>
      </c>
      <c r="T248" s="3">
        <f>IF(Q248="","",MIN(R248/Q248,1))</f>
        <v/>
      </c>
      <c r="U248" t="inlineStr">
        <is>
          <t>Annual Passholder pin; Mini Jumbo Boxed Pin; Opening Day Giant Pin</t>
        </is>
      </c>
      <c r="V248" t="inlineStr"/>
      <c r="W248" t="inlineStr">
        <is>
          <t>evidenced</t>
        </is>
      </c>
      <c r="X248" t="inlineStr">
        <is>
          <t>Low</t>
        </is>
      </c>
      <c r="Y248" t="inlineStr">
        <is>
          <t>https://disneypinsblog.com/tron-lightcycle-run-grand-opening-disney-pins-at-magic-kingdom/</t>
        </is>
      </c>
      <c r="Z248" t="inlineStr">
        <is>
          <t>secondary</t>
        </is>
      </c>
      <c r="AA248" t="inlineStr">
        <is>
          <t>https://wdwnt.com/2023/04/full-list-with-prices-of-tron-lightcycle-run-opening-day-merchandise-at-walt-disney-world/</t>
        </is>
      </c>
      <c r="AB248" t="n">
        <v>2</v>
      </c>
      <c r="AC248" t="inlineStr"/>
      <c r="AD248" t="inlineStr"/>
      <c r="AE248" t="inlineStr"/>
      <c r="AF248" t="inlineStr"/>
      <c r="AG248" t="inlineStr">
        <is>
          <t>wdw/2023/tron-lightcycle-run-grand-opening</t>
        </is>
      </c>
    </row>
    <row r="249">
      <c r="A249" t="inlineStr">
        <is>
          <t>PHS-0248</t>
        </is>
      </c>
      <c r="B249" t="inlineStr">
        <is>
          <t>2023 EPCOT International Food &amp; Wine Festival pins</t>
        </is>
      </c>
      <c r="C249" t="inlineStr">
        <is>
          <t>Walt Disney World</t>
        </is>
      </c>
      <c r="D249" t="inlineStr"/>
      <c r="E249" t="inlineStr">
        <is>
          <t>2023-07-27</t>
        </is>
      </c>
      <c r="F249" t="n">
        <v>2023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5</v>
      </c>
      <c r="R249" t="n">
        <v>6</v>
      </c>
      <c r="S249">
        <f>IF(Q249="","",MAX(Q249-R249,0))</f>
        <v/>
      </c>
      <c r="T249" s="3">
        <f>IF(Q249="","",MIN(R249/Q249,1))</f>
        <v/>
      </c>
      <c r="U249" t="inlineStr">
        <is>
          <t>Encanto pin; Figment; Logo pin; Antonio; Bruno; Isabela; Luisa; Mirabel; Mirabel Madrigal; Wine Your Way Around the World Pin</t>
        </is>
      </c>
      <c r="V249" t="inlineStr"/>
      <c r="W249" t="inlineStr">
        <is>
          <t>evidenced (held)</t>
        </is>
      </c>
      <c r="X249" t="inlineStr">
        <is>
          <t>Medium</t>
        </is>
      </c>
      <c r="Y249" t="inlineStr">
        <is>
          <t>https://allears.net/2023/07/27/why-epcot-is-dangerous-for-encanto-fans-right-now/</t>
        </is>
      </c>
      <c r="Z249" t="inlineStr">
        <is>
          <t>secondary</t>
        </is>
      </c>
      <c r="AA249" t="inlineStr">
        <is>
          <t>https://disneypinsblog.com/epcot-international-food-wine-festival-2023-disney-pins/</t>
        </is>
      </c>
      <c r="AB249" t="n">
        <v>4</v>
      </c>
      <c r="AC249" t="inlineStr"/>
      <c r="AD249" t="inlineStr"/>
      <c r="AE249" t="inlineStr"/>
      <c r="AF249" t="inlineStr"/>
      <c r="AG249" t="inlineStr">
        <is>
          <t>wdw/2023/epcot-food-wine-2023</t>
        </is>
      </c>
    </row>
    <row r="250">
      <c r="A250" t="inlineStr">
        <is>
          <t>PHS-0249</t>
        </is>
      </c>
      <c r="B250" t="inlineStr">
        <is>
          <t>Mickey's Not So Scary Halloween Party 2023 pins</t>
        </is>
      </c>
      <c r="C250" t="inlineStr">
        <is>
          <t>Walt Disney World</t>
        </is>
      </c>
      <c r="D250" t="inlineStr"/>
      <c r="E250" t="inlineStr">
        <is>
          <t>2023-08</t>
        </is>
      </c>
      <c r="F250" t="n">
        <v>2023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</v>
      </c>
      <c r="S250">
        <f>IF(Q250="","",MAX(Q250-R250,0))</f>
        <v/>
      </c>
      <c r="T250" s="3">
        <f>IF(Q250="","",MIN(R250/Q250,1))</f>
        <v/>
      </c>
      <c r="U250" t="inlineStr">
        <is>
          <t>Sanderson Sisters; Mickey Mouse; Minnie Mouse; Passholder MNSSHP 2023 Pin</t>
        </is>
      </c>
      <c r="V250" t="inlineStr"/>
      <c r="W250" t="inlineStr">
        <is>
          <t>evidenced</t>
        </is>
      </c>
      <c r="X250" t="inlineStr">
        <is>
          <t>Low</t>
        </is>
      </c>
      <c r="Y250" t="inlineStr">
        <is>
          <t>https://disneypinsblog.com/mickeys-not-so-scary-halloween-party-2023-disney-pins/</t>
        </is>
      </c>
      <c r="Z250" t="inlineStr">
        <is>
          <t>secondary</t>
        </is>
      </c>
      <c r="AA250" t="inlineStr">
        <is>
          <t>https://disneypinventory.com/view_item.php?itemID=30444</t>
        </is>
      </c>
      <c r="AB250" t="n">
        <v>3</v>
      </c>
      <c r="AC250" t="inlineStr"/>
      <c r="AD250" t="inlineStr"/>
      <c r="AE250" t="inlineStr"/>
      <c r="AF250" t="inlineStr"/>
      <c r="AG250" t="inlineStr">
        <is>
          <t>wdw/2023/mnsshp-2023</t>
        </is>
      </c>
    </row>
    <row r="251">
      <c r="A251" t="inlineStr">
        <is>
          <t>PHS-0250</t>
        </is>
      </c>
      <c r="B251" t="inlineStr">
        <is>
          <t>Disney 100 Grand Finale pin releases</t>
        </is>
      </c>
      <c r="C251" t="inlineStr">
        <is>
          <t>Walt Disney World</t>
        </is>
      </c>
      <c r="D251" t="inlineStr"/>
      <c r="E251" t="inlineStr">
        <is>
          <t>2023-10-02</t>
        </is>
      </c>
      <c r="F251" t="n">
        <v>2023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</v>
      </c>
      <c r="S251">
        <f>IF(Q251="","",MAX(Q251-R251,0))</f>
        <v/>
      </c>
      <c r="T251" s="3">
        <f>IF(Q251="","",MIN(R251/Q251,1))</f>
        <v/>
      </c>
      <c r="U251" t="inlineStr">
        <is>
          <t>Mickey Mouse; Years of Wonder Ribbon Pin</t>
        </is>
      </c>
      <c r="V251" t="inlineStr"/>
      <c r="W251" t="inlineStr">
        <is>
          <t>evidenced</t>
        </is>
      </c>
      <c r="X251" t="inlineStr">
        <is>
          <t>Low</t>
        </is>
      </c>
      <c r="Y251" t="inlineStr">
        <is>
          <t>https://disneypinsblog.com/disney-100-grand-finale-pin-releases-at-disney-parks/</t>
        </is>
      </c>
      <c r="Z251" t="inlineStr">
        <is>
          <t>secondary</t>
        </is>
      </c>
      <c r="AA251" t="inlineStr">
        <is>
          <t>https://wdwnt.com/2023/10/new-limited-edition-disney100-pins-epcot/</t>
        </is>
      </c>
      <c r="AB251" t="n">
        <v>2</v>
      </c>
      <c r="AC251" t="inlineStr"/>
      <c r="AD251" t="inlineStr"/>
      <c r="AE251" t="inlineStr"/>
      <c r="AF251" t="inlineStr"/>
      <c r="AG251" t="inlineStr">
        <is>
          <t>wdw/2023/disney100-grand-finale</t>
        </is>
      </c>
    </row>
    <row r="252">
      <c r="A252" t="inlineStr">
        <is>
          <t>PHS-0251</t>
        </is>
      </c>
      <c r="B252" t="inlineStr">
        <is>
          <t>Mickey's Very Merry Christmas Party 2023 pins</t>
        </is>
      </c>
      <c r="C252" t="inlineStr">
        <is>
          <t>Walt Disney World</t>
        </is>
      </c>
      <c r="D252" t="inlineStr"/>
      <c r="E252" t="inlineStr">
        <is>
          <t>2023-11</t>
        </is>
      </c>
      <c r="F252" t="n">
        <v>2023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2</v>
      </c>
      <c r="S252">
        <f>IF(Q252="","",MAX(Q252-R252,0))</f>
        <v/>
      </c>
      <c r="T252" s="3">
        <f>IF(Q252="","",MIN(R252/Q252,1))</f>
        <v/>
      </c>
      <c r="U252" t="inlineStr">
        <is>
          <t>Daisy Duck; Donald Duck; Goofy; Mickey Mouse; Minnie Mouse; Pluto; Holiday Magic MVMCP 2023 Pin</t>
        </is>
      </c>
      <c r="V252" t="inlineStr"/>
      <c r="W252" t="inlineStr">
        <is>
          <t>evidenced</t>
        </is>
      </c>
      <c r="X252" t="inlineStr">
        <is>
          <t>Low</t>
        </is>
      </c>
      <c r="Y252" t="inlineStr">
        <is>
          <t>https://disneypinsblog.com/mickeys-very-merry-christmas-party-2023-disney-pins/</t>
        </is>
      </c>
      <c r="Z252" t="inlineStr">
        <is>
          <t>secondary</t>
        </is>
      </c>
      <c r="AA252" t="inlineStr">
        <is>
          <t>https://wdwnt.com/2023/08/christmas-festival-of-the-holidays-2023-pins/</t>
        </is>
      </c>
      <c r="AB252" t="n">
        <v>2</v>
      </c>
      <c r="AC252" t="inlineStr"/>
      <c r="AD252" t="inlineStr"/>
      <c r="AE252" t="inlineStr"/>
      <c r="AF252" t="inlineStr"/>
      <c r="AG252" t="inlineStr">
        <is>
          <t>wdw/2023/mvmcp-2023</t>
        </is>
      </c>
    </row>
    <row r="253">
      <c r="A253" t="inlineStr">
        <is>
          <t>PHS-0252</t>
        </is>
      </c>
      <c r="B253" t="inlineStr">
        <is>
          <t>Annual Passholder-Exclusive PeopleMover Pin</t>
        </is>
      </c>
      <c r="C253" t="inlineStr">
        <is>
          <t>Walt Disney World</t>
        </is>
      </c>
      <c r="D253" t="inlineStr"/>
      <c r="E253" t="inlineStr">
        <is>
          <t>2023-12-29</t>
        </is>
      </c>
      <c r="F253" t="n">
        <v>2023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</v>
      </c>
      <c r="R253" t="n">
        <v>1</v>
      </c>
      <c r="S253">
        <f>IF(Q253="","",MAX(Q253-R253,0))</f>
        <v/>
      </c>
      <c r="T253" s="3">
        <f>IF(Q253="","",MIN(R253/Q253,1))</f>
        <v/>
      </c>
      <c r="U253" t="inlineStr">
        <is>
          <t>Goofy; Mickey Mouse</t>
        </is>
      </c>
      <c r="V253" t="inlineStr"/>
      <c r="W253" t="inlineStr">
        <is>
          <t>evidenced</t>
        </is>
      </c>
      <c r="X253" t="inlineStr">
        <is>
          <t>Low</t>
        </is>
      </c>
      <c r="Y253" t="inlineStr">
        <is>
          <t>https://disneypinsblog.com/new-disney-pins-december-2023-week-4/</t>
        </is>
      </c>
      <c r="Z253" t="inlineStr">
        <is>
          <t>secondary</t>
        </is>
      </c>
      <c r="AA253" t="inlineStr">
        <is>
          <t>https://disneypinventory.com/view_item.php?itemID=33012</t>
        </is>
      </c>
      <c r="AB253" t="n">
        <v>3</v>
      </c>
      <c r="AC253" t="inlineStr"/>
      <c r="AD253" t="inlineStr"/>
      <c r="AE253" t="inlineStr"/>
      <c r="AF253" t="inlineStr"/>
      <c r="AG253" t="inlineStr">
        <is>
          <t>wdw/2023/peoplemover-passholder-pin</t>
        </is>
      </c>
    </row>
    <row r="254">
      <c r="A254" t="inlineStr">
        <is>
          <t>PHS-0253</t>
        </is>
      </c>
      <c r="B254" t="inlineStr">
        <is>
          <t>Epcot International Festival of the Arts 2024 pins</t>
        </is>
      </c>
      <c r="C254" t="inlineStr">
        <is>
          <t>Walt Disney World</t>
        </is>
      </c>
      <c r="D254" t="inlineStr"/>
      <c r="E254" t="inlineStr">
        <is>
          <t>2024-01-12</t>
        </is>
      </c>
      <c r="F254" t="n">
        <v>2024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3</v>
      </c>
      <c r="R254" t="n">
        <v>4</v>
      </c>
      <c r="S254">
        <f>IF(Q254="","",MAX(Q254-R254,0))</f>
        <v/>
      </c>
      <c r="T254" s="3">
        <f>IF(Q254="","",MIN(R254/Q254,1))</f>
        <v/>
      </c>
      <c r="U254" t="inlineStr">
        <is>
          <t>Figment; Mickey Mouse</t>
        </is>
      </c>
      <c r="V254" t="inlineStr"/>
      <c r="W254" t="inlineStr">
        <is>
          <t>evidenced</t>
        </is>
      </c>
      <c r="X254" t="inlineStr">
        <is>
          <t>Low</t>
        </is>
      </c>
      <c r="Y254" t="inlineStr">
        <is>
          <t>https://allears.net/2024/01/12/all-the-souvenirs-you-can-buy-at-the-2024-epcot-festival-of-the-arts/</t>
        </is>
      </c>
      <c r="Z254" t="inlineStr">
        <is>
          <t>secondary</t>
        </is>
      </c>
      <c r="AA254" t="inlineStr">
        <is>
          <t>https://disneypinsblog.com/blogs/news/epcot-international-festival-of-the-arts-2024-disney-pins</t>
        </is>
      </c>
      <c r="AB254" t="n">
        <v>5</v>
      </c>
      <c r="AC254" t="inlineStr"/>
      <c r="AD254" t="inlineStr"/>
      <c r="AE254" t="inlineStr"/>
      <c r="AF254" t="inlineStr"/>
      <c r="AG254" t="inlineStr">
        <is>
          <t>wdw/2024/epcot-festival-of-the-arts-2024</t>
        </is>
      </c>
    </row>
    <row r="255">
      <c r="A255" t="inlineStr">
        <is>
          <t>PHS-0254</t>
        </is>
      </c>
      <c r="B255" t="inlineStr">
        <is>
          <t>Epcot International Flower &amp; Garden Festival 2024 pins</t>
        </is>
      </c>
      <c r="C255" t="inlineStr">
        <is>
          <t>Walt Disney World</t>
        </is>
      </c>
      <c r="D255" t="inlineStr"/>
      <c r="E255" t="inlineStr">
        <is>
          <t>2024-03-05</t>
        </is>
      </c>
      <c r="F255" t="n">
        <v>2024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9</v>
      </c>
      <c r="R255" t="n">
        <v>6</v>
      </c>
      <c r="S255">
        <f>IF(Q255="","",MAX(Q255-R255,0))</f>
        <v/>
      </c>
      <c r="T255" s="3">
        <f>IF(Q255="","",MIN(R255/Q255,1))</f>
        <v/>
      </c>
      <c r="U255" t="inlineStr">
        <is>
          <t>Minnie Mouse; Orange Bird; Spike the Bee</t>
        </is>
      </c>
      <c r="V255" t="inlineStr"/>
      <c r="W255" t="inlineStr">
        <is>
          <t>evidenced (held)</t>
        </is>
      </c>
      <c r="X255" t="inlineStr">
        <is>
          <t>Low</t>
        </is>
      </c>
      <c r="Y255" t="inlineStr">
        <is>
          <t>https://disneyfashionista.com/epcot-flower-garden-festival-pins-for-2024/</t>
        </is>
      </c>
      <c r="Z255" t="inlineStr">
        <is>
          <t>secondary</t>
        </is>
      </c>
      <c r="AA255" t="inlineStr">
        <is>
          <t>https://disneypinsblog.com/epcot-international-flower-garden-festival-2024-disney-pins/</t>
        </is>
      </c>
      <c r="AB255" t="n">
        <v>3</v>
      </c>
      <c r="AC255" t="inlineStr"/>
      <c r="AD255" t="inlineStr"/>
      <c r="AE255" t="inlineStr"/>
      <c r="AF255" t="inlineStr"/>
      <c r="AG255" t="inlineStr">
        <is>
          <t>wdw/2024/epcot-flower-garden-2024</t>
        </is>
      </c>
    </row>
    <row r="256">
      <c r="A256" t="inlineStr">
        <is>
          <t>PHS-0255</t>
        </is>
      </c>
      <c r="B256" t="inlineStr">
        <is>
          <t>Mickey's Not So Scary Halloween Party 2024 pins</t>
        </is>
      </c>
      <c r="C256" t="inlineStr">
        <is>
          <t>Walt Disney World</t>
        </is>
      </c>
      <c r="D256" t="inlineStr"/>
      <c r="E256" t="inlineStr">
        <is>
          <t>2024-08-09</t>
        </is>
      </c>
      <c r="F256" t="n">
        <v>2024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4</v>
      </c>
      <c r="S256">
        <f>IF(Q256="","",MAX(Q256-R256,0))</f>
        <v/>
      </c>
      <c r="T256" s="3">
        <f>IF(Q256="","",MIN(R256/Q256,1))</f>
        <v/>
      </c>
      <c r="U256" t="inlineStr">
        <is>
          <t>Banzai; Ed; Shenzi; Jack Skellington; Sally; Pain; Panic; Eeyore; Piglet; Tigger; Winnie the Pooh</t>
        </is>
      </c>
      <c r="V256" t="inlineStr"/>
      <c r="W256" t="inlineStr">
        <is>
          <t>evidenced</t>
        </is>
      </c>
      <c r="X256" t="inlineStr">
        <is>
          <t>Low</t>
        </is>
      </c>
      <c r="Y256" t="inlineStr">
        <is>
          <t>https://disneypinventory.com/view_item.php?itemID=38108</t>
        </is>
      </c>
      <c r="Z256" t="inlineStr">
        <is>
          <t>secondary</t>
        </is>
      </c>
      <c r="AA256" t="inlineStr">
        <is>
          <t>https://disneypinventory.com/view_item.php?itemID=38109</t>
        </is>
      </c>
      <c r="AB256" t="n">
        <v>3</v>
      </c>
      <c r="AC256" t="inlineStr"/>
      <c r="AD256" t="inlineStr"/>
      <c r="AE256" t="inlineStr"/>
      <c r="AF256" t="inlineStr"/>
      <c r="AG256" t="inlineStr">
        <is>
          <t>wdw/2024/mnsshp-2024</t>
        </is>
      </c>
    </row>
    <row r="257">
      <c r="A257" t="inlineStr">
        <is>
          <t>PHS-0256</t>
        </is>
      </c>
      <c r="B257" t="inlineStr">
        <is>
          <t>Mickey's Not So Scary Halloween Party 2024 Boxed Pin Set</t>
        </is>
      </c>
      <c r="C257" t="inlineStr">
        <is>
          <t>Walt Disney World</t>
        </is>
      </c>
      <c r="D257" t="inlineStr"/>
      <c r="E257" t="inlineStr">
        <is>
          <t>2024-08-09</t>
        </is>
      </c>
      <c r="F257" t="n">
        <v>2024</v>
      </c>
      <c r="G257" t="inlineStr"/>
      <c r="H257" t="inlineStr"/>
      <c r="I257" t="inlineStr"/>
      <c r="J257" t="inlineStr"/>
      <c r="K257" t="inlineStr"/>
      <c r="L257" t="inlineStr">
        <is>
          <t>limited edition</t>
        </is>
      </c>
      <c r="M257" t="n">
        <v>1000</v>
      </c>
      <c r="N257" t="n">
        <v>110</v>
      </c>
      <c r="O257" t="inlineStr">
        <is>
          <t>USD</t>
        </is>
      </c>
      <c r="P257" t="inlineStr"/>
      <c r="Q257" t="n">
        <v>5</v>
      </c>
      <c r="R257" t="n">
        <v>1</v>
      </c>
      <c r="S257">
        <f>IF(Q257="","",MAX(Q257-R257,0))</f>
        <v/>
      </c>
      <c r="T257" s="3">
        <f>IF(Q257="","",MIN(R257/Q257,1))</f>
        <v/>
      </c>
      <c r="U257" t="inlineStr">
        <is>
          <t>Mickey Mouse; Minnie Mouse</t>
        </is>
      </c>
      <c r="V257" t="inlineStr"/>
      <c r="W257" t="inlineStr">
        <is>
          <t>evidenced</t>
        </is>
      </c>
      <c r="X257" t="inlineStr">
        <is>
          <t>Low</t>
        </is>
      </c>
      <c r="Y257" t="inlineStr">
        <is>
          <t>https://disneypinventory.com/view_item.php?itemID=38108</t>
        </is>
      </c>
      <c r="Z257" t="inlineStr">
        <is>
          <t>secondary</t>
        </is>
      </c>
      <c r="AA257" t="inlineStr"/>
      <c r="AB257" t="n">
        <v>1</v>
      </c>
      <c r="AC257" t="inlineStr"/>
      <c r="AD257" t="inlineStr"/>
      <c r="AE257" t="inlineStr"/>
      <c r="AF257" t="inlineStr"/>
      <c r="AG257" t="inlineStr">
        <is>
          <t>wdw/2024/mnsshp-2024-boxed-pin-set</t>
        </is>
      </c>
    </row>
    <row r="258">
      <c r="A258" t="inlineStr">
        <is>
          <t>PHS-0257</t>
        </is>
      </c>
      <c r="B258" t="inlineStr">
        <is>
          <t>Epcot International Food &amp; Wine Festival 2024 pins</t>
        </is>
      </c>
      <c r="C258" t="inlineStr">
        <is>
          <t>Walt Disney World</t>
        </is>
      </c>
      <c r="D258" t="inlineStr"/>
      <c r="E258" t="inlineStr">
        <is>
          <t>2024-08-29</t>
        </is>
      </c>
      <c r="F258" t="n">
        <v>2024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9</v>
      </c>
      <c r="S258">
        <f>IF(Q258="","",MAX(Q258-R258,0))</f>
        <v/>
      </c>
      <c r="T258" s="3">
        <f>IF(Q258="","",MIN(R258/Q258,1))</f>
        <v/>
      </c>
      <c r="U258" t="inlineStr">
        <is>
          <t>Figment; Mickey Mouse; Minnie Mouse; Remy; Food &amp; Wine logo pin; Muppet Labs pin</t>
        </is>
      </c>
      <c r="V258" t="inlineStr"/>
      <c r="W258" t="inlineStr">
        <is>
          <t>evidenced (held)</t>
        </is>
      </c>
      <c r="X258" t="inlineStr">
        <is>
          <t>Low</t>
        </is>
      </c>
      <c r="Y258" t="inlineStr">
        <is>
          <t>https://disneypinsblog.com/epcot-international-food-wine-festival-2024-disney-pins/</t>
        </is>
      </c>
      <c r="Z258" t="inlineStr">
        <is>
          <t>secondary</t>
        </is>
      </c>
      <c r="AA258" t="inlineStr">
        <is>
          <t>https://mickeyblog.com/2024/08/29/all-of-epcots-new-2024-food-wine-festival-merchandise/</t>
        </is>
      </c>
      <c r="AB258" t="n">
        <v>4</v>
      </c>
      <c r="AC258" t="inlineStr"/>
      <c r="AD258" t="inlineStr"/>
      <c r="AE258" t="inlineStr"/>
      <c r="AF258" t="inlineStr"/>
      <c r="AG258" t="inlineStr">
        <is>
          <t>wdw/2024/epcot-food-wine-2024</t>
        </is>
      </c>
    </row>
    <row r="259">
      <c r="A259" t="inlineStr">
        <is>
          <t>PHS-0258</t>
        </is>
      </c>
      <c r="B259" t="inlineStr">
        <is>
          <t>EPCOT Festival of the Holidays Storytellers pin series</t>
        </is>
      </c>
      <c r="C259" t="inlineStr">
        <is>
          <t>Walt Disney World</t>
        </is>
      </c>
      <c r="D259" t="inlineStr"/>
      <c r="E259" t="inlineStr">
        <is>
          <t>2024-11</t>
        </is>
      </c>
      <c r="F259" t="n">
        <v>2024</v>
      </c>
      <c r="G259" t="inlineStr"/>
      <c r="H259" t="inlineStr"/>
      <c r="I259" t="inlineStr"/>
      <c r="J259" t="inlineStr"/>
      <c r="K259" t="inlineStr"/>
      <c r="L259" t="inlineStr">
        <is>
          <t>limited edition</t>
        </is>
      </c>
      <c r="M259" t="inlineStr"/>
      <c r="N259" t="inlineStr"/>
      <c r="O259" t="inlineStr"/>
      <c r="P259" t="inlineStr"/>
      <c r="Q259" t="n">
        <v>4</v>
      </c>
      <c r="R259" t="n">
        <v>4</v>
      </c>
      <c r="S259">
        <f>IF(Q259="","",MAX(Q259-R259,0))</f>
        <v/>
      </c>
      <c r="T259" s="3">
        <f>IF(Q259="","",MIN(R259/Q259,1))</f>
        <v/>
      </c>
      <c r="U259" t="inlineStr">
        <is>
          <t>Mickey Mouse; Minnie Mouse</t>
        </is>
      </c>
      <c r="V259" t="inlineStr"/>
      <c r="W259" t="inlineStr">
        <is>
          <t>evidenced</t>
        </is>
      </c>
      <c r="X259" t="inlineStr">
        <is>
          <t>Low</t>
        </is>
      </c>
      <c r="Y259" t="inlineStr">
        <is>
          <t>https://wdwnt.com/2024/11/epcot-holiday-around-the-world-pins-storytellers/</t>
        </is>
      </c>
      <c r="Z259" t="inlineStr">
        <is>
          <t>secondary</t>
        </is>
      </c>
      <c r="AA259" t="inlineStr"/>
      <c r="AB259" t="n">
        <v>1</v>
      </c>
      <c r="AC259" t="inlineStr"/>
      <c r="AD259" t="inlineStr"/>
      <c r="AE259" t="inlineStr"/>
      <c r="AF259" t="inlineStr"/>
      <c r="AG259" t="inlineStr">
        <is>
          <t>wdw/2024/holidays-around-the-world-storytellers</t>
        </is>
      </c>
    </row>
    <row r="260">
      <c r="A260" t="inlineStr">
        <is>
          <t>PHS-0259</t>
        </is>
      </c>
      <c r="B260" t="inlineStr">
        <is>
          <t>EPCOT International Festival of the Holidays 2024 pins</t>
        </is>
      </c>
      <c r="C260" t="inlineStr">
        <is>
          <t>Walt Disney World</t>
        </is>
      </c>
      <c r="D260" t="inlineStr"/>
      <c r="E260" t="inlineStr">
        <is>
          <t>2024-11-29</t>
        </is>
      </c>
      <c r="F260" t="n">
        <v>2024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2</v>
      </c>
      <c r="S260">
        <f>IF(Q260="","",MAX(Q260-R260,0))</f>
        <v/>
      </c>
      <c r="T260" s="3">
        <f>IF(Q260="","",MIN(R260/Q260,1))</f>
        <v/>
      </c>
      <c r="U260" t="inlineStr">
        <is>
          <t>Annual Passholder Snowglobe Pin; Snow Globe Pin</t>
        </is>
      </c>
      <c r="V260" t="inlineStr"/>
      <c r="W260" t="inlineStr">
        <is>
          <t>evidenced</t>
        </is>
      </c>
      <c r="X260" t="inlineStr">
        <is>
          <t>Low</t>
        </is>
      </c>
      <c r="Y260" t="inlineStr">
        <is>
          <t>https://chipandco.com/epcot-festival-of-the-holidays-pin-collection-a-collectors-dream-585366/</t>
        </is>
      </c>
      <c r="Z260" t="inlineStr">
        <is>
          <t>secondary</t>
        </is>
      </c>
      <c r="AA260" t="inlineStr">
        <is>
          <t>https://disneypinsblog.com/epcot-international-festival-of-the-holidays-2024-disney-pins/</t>
        </is>
      </c>
      <c r="AB260" t="n">
        <v>4</v>
      </c>
      <c r="AC260" t="inlineStr"/>
      <c r="AD260" t="inlineStr"/>
      <c r="AE260" t="inlineStr"/>
      <c r="AF260" t="inlineStr"/>
      <c r="AG260" t="inlineStr">
        <is>
          <t>wdw/2024/epcot-festival-of-the-holidays-2024</t>
        </is>
      </c>
    </row>
    <row r="261">
      <c r="A261" t="inlineStr">
        <is>
          <t>PHS-0260</t>
        </is>
      </c>
      <c r="B261" t="inlineStr">
        <is>
          <t>Epcot Festival of the Holidays 2024 Walt Disney World Club 33 Pin</t>
        </is>
      </c>
      <c r="C261" t="inlineStr">
        <is>
          <t>Walt Disney World</t>
        </is>
      </c>
      <c r="D261" t="inlineStr"/>
      <c r="E261" t="inlineStr">
        <is>
          <t>2024-12</t>
        </is>
      </c>
      <c r="F261" t="n">
        <v>2024</v>
      </c>
      <c r="G261" t="inlineStr"/>
      <c r="H261" t="inlineStr"/>
      <c r="I261" t="inlineStr"/>
      <c r="J261" t="inlineStr"/>
      <c r="K261" t="inlineStr"/>
      <c r="L261" t="inlineStr">
        <is>
          <t>limited edition</t>
        </is>
      </c>
      <c r="M261" t="n">
        <v>300</v>
      </c>
      <c r="N261" t="n">
        <v>40</v>
      </c>
      <c r="O261" t="inlineStr">
        <is>
          <t>USD</t>
        </is>
      </c>
      <c r="P261" t="inlineStr"/>
      <c r="Q261" t="n">
        <v>1</v>
      </c>
      <c r="R261" t="n">
        <v>1</v>
      </c>
      <c r="S261">
        <f>IF(Q261="","",MAX(Q261-R261,0))</f>
        <v/>
      </c>
      <c r="T261" s="3">
        <f>IF(Q261="","",MIN(R261/Q261,1))</f>
        <v/>
      </c>
      <c r="U261" t="inlineStr">
        <is>
          <t>club-33-pin</t>
        </is>
      </c>
      <c r="V261" t="inlineStr"/>
      <c r="W261" t="inlineStr">
        <is>
          <t>evidenced</t>
        </is>
      </c>
      <c r="X261" t="inlineStr">
        <is>
          <t>Low</t>
        </is>
      </c>
      <c r="Y261" t="inlineStr">
        <is>
          <t>https://disneypinsblog.com/blogs/news/epcot-festival-of-the-holidays-2024-walt-disney-world-club-33-pin</t>
        </is>
      </c>
      <c r="Z261" t="inlineStr">
        <is>
          <t>secondary</t>
        </is>
      </c>
      <c r="AA261" t="inlineStr">
        <is>
          <t>https://disneypinsblog.com/epcot-festival-of-the-holidays-2024-walt-disney-world-club-33-pin/</t>
        </is>
      </c>
      <c r="AB261" t="n">
        <v>1</v>
      </c>
      <c r="AC261" t="inlineStr"/>
      <c r="AD261" t="inlineStr"/>
      <c r="AE261" t="inlineStr"/>
      <c r="AF261" t="inlineStr"/>
      <c r="AG261" t="inlineStr">
        <is>
          <t>wdw/2024/epcot-festival-of-the-holidays-2024-club-33</t>
        </is>
      </c>
    </row>
    <row r="262">
      <c r="A262" t="inlineStr">
        <is>
          <t>PHS-0261</t>
        </is>
      </c>
      <c r="B262" t="inlineStr">
        <is>
          <t>Charming Carousels</t>
        </is>
      </c>
      <c r="C262" t="inlineStr">
        <is>
          <t>Walt Disney World</t>
        </is>
      </c>
      <c r="D262" t="inlineStr"/>
      <c r="E262" t="inlineStr">
        <is>
          <t>2025</t>
        </is>
      </c>
      <c r="F262" t="n">
        <v>2025</v>
      </c>
      <c r="G262" t="inlineStr"/>
      <c r="H262" t="inlineStr"/>
      <c r="I262" t="inlineStr">
        <is>
          <t>monthly LE single-pin series</t>
        </is>
      </c>
      <c r="J262" t="inlineStr"/>
      <c r="K262" t="inlineStr"/>
      <c r="L262" t="inlineStr">
        <is>
          <t>limited edition</t>
        </is>
      </c>
      <c r="M262" t="n">
        <v>2000</v>
      </c>
      <c r="N262" t="n">
        <v>22.99</v>
      </c>
      <c r="O262" t="inlineStr">
        <is>
          <t>USD</t>
        </is>
      </c>
      <c r="P262" t="inlineStr"/>
      <c r="Q262" t="inlineStr"/>
      <c r="R262" t="n">
        <v>6</v>
      </c>
      <c r="S262">
        <f>IF(Q262="","",MAX(Q262-R262,0))</f>
        <v/>
      </c>
      <c r="T262" s="3">
        <f>IF(Q262="","",MIN(R262/Q262,1))</f>
        <v/>
      </c>
      <c r="U262" t="inlineStr">
        <is>
          <t>Charming Carousels - Big Thunder Mountain Railroad; Charming Carousels - Enchanted Tiki Room; Charming Carousels - Mad Tea Party; Charming Carousels - Peter Pan's Flight; Charming Carousels - Pirates of the Caribbean; Charming Carousels - Voyage of the Little Mermaid</t>
        </is>
      </c>
      <c r="V262" t="inlineStr"/>
      <c r="W262" t="inlineStr">
        <is>
          <t>evidenced</t>
        </is>
      </c>
      <c r="X262" t="inlineStr">
        <is>
          <t>Low</t>
        </is>
      </c>
      <c r="Y262" t="inlineStr">
        <is>
          <t>https://disneypinsblog.com/complete-charming-carousels-disney-pin-collection/</t>
        </is>
      </c>
      <c r="Z262" t="inlineStr">
        <is>
          <t>secondary</t>
        </is>
      </c>
      <c r="AA262" t="inlineStr">
        <is>
          <t>https://mypincentral.com/blog_post/pin-releases-dlr-disneyland-resort-disneyland-resort-flyer-for-september-2025</t>
        </is>
      </c>
      <c r="AB262" t="n">
        <v>4</v>
      </c>
      <c r="AC262" t="inlineStr"/>
      <c r="AD262" t="inlineStr"/>
      <c r="AE262" t="inlineStr"/>
      <c r="AF262" t="inlineStr"/>
      <c r="AG262" t="inlineStr">
        <is>
          <t>wdw/2025/charming-carousels</t>
        </is>
      </c>
    </row>
    <row r="263">
      <c r="A263" t="inlineStr">
        <is>
          <t>PHS-0262</t>
        </is>
      </c>
      <c r="B263" t="inlineStr">
        <is>
          <t>Dining with Disney</t>
        </is>
      </c>
      <c r="C263" t="inlineStr">
        <is>
          <t>Walt Disney World</t>
        </is>
      </c>
      <c r="D263" t="inlineStr"/>
      <c r="E263" t="inlineStr">
        <is>
          <t>2025</t>
        </is>
      </c>
      <c r="F263" t="n">
        <v>2025</v>
      </c>
      <c r="G263" t="inlineStr"/>
      <c r="H263" t="inlineStr"/>
      <c r="I263" t="inlineStr">
        <is>
          <t>monthly LE single-pin series</t>
        </is>
      </c>
      <c r="J263" t="inlineStr"/>
      <c r="K263" t="inlineStr"/>
      <c r="L263" t="inlineStr">
        <is>
          <t>limited edition</t>
        </is>
      </c>
      <c r="M263" t="n">
        <v>2500</v>
      </c>
      <c r="N263" t="n">
        <v>22.99</v>
      </c>
      <c r="O263" t="inlineStr">
        <is>
          <t>USD</t>
        </is>
      </c>
      <c r="P263" t="inlineStr"/>
      <c r="Q263" t="n">
        <v>12</v>
      </c>
      <c r="R263" t="n">
        <v>12</v>
      </c>
      <c r="S263">
        <f>IF(Q263="","",MAX(Q263-R263,0))</f>
        <v/>
      </c>
      <c r="T263" s="3">
        <f>IF(Q263="","",MIN(R263/Q263,1))</f>
        <v/>
      </c>
      <c r="U263" t="inlineStr">
        <is>
          <t>Cogsworth; Lumiere; Dining with Disney - Beaches &amp; Cream Soda Shop; Dining with Disney - Boma; Casey; Dining with Disney - Chef Mickey's; Dining with Disney - Cheshire Cafe; Chip; Dale; Dining with Disney - 'Ohana; Dining with Disney - PizzeRizzo; Dining with Disney - Regal Eagle Smokehouse; Dining with Disney - Roundup Rodeo BBQ; Donald Duck</t>
        </is>
      </c>
      <c r="V263" t="inlineStr"/>
      <c r="W263" t="inlineStr">
        <is>
          <t>evidenced</t>
        </is>
      </c>
      <c r="X263" t="inlineStr">
        <is>
          <t>Low</t>
        </is>
      </c>
      <c r="Y263" t="inlineStr">
        <is>
          <t>https://disneypinsblog.com/complete-dining-with-disney-pin-collection/</t>
        </is>
      </c>
      <c r="Z263" t="inlineStr">
        <is>
          <t>secondary</t>
        </is>
      </c>
      <c r="AA263" t="inlineStr">
        <is>
          <t>https://wdwnt.com/2025/05/new-cheshire-cafe-dining-with-disney-pin-at-walt-disney-world/</t>
        </is>
      </c>
      <c r="AB263" t="n">
        <v>2</v>
      </c>
      <c r="AC263" t="inlineStr"/>
      <c r="AD263" t="inlineStr"/>
      <c r="AE263" t="inlineStr"/>
      <c r="AF263" t="inlineStr"/>
      <c r="AG263" t="inlineStr">
        <is>
          <t>wdw/2025/dining-with-disney</t>
        </is>
      </c>
    </row>
    <row r="264">
      <c r="A264" t="inlineStr">
        <is>
          <t>PHS-0263</t>
        </is>
      </c>
      <c r="B264" t="inlineStr">
        <is>
          <t>Inkwells of Evil</t>
        </is>
      </c>
      <c r="C264" t="inlineStr">
        <is>
          <t>Walt Disney World</t>
        </is>
      </c>
      <c r="D264" t="inlineStr"/>
      <c r="E264" t="inlineStr">
        <is>
          <t>2025</t>
        </is>
      </c>
      <c r="F264" t="n">
        <v>2025</v>
      </c>
      <c r="G264" t="inlineStr"/>
      <c r="H264" t="inlineStr"/>
      <c r="I264" t="inlineStr">
        <is>
          <t>monthly LE single-pin series</t>
        </is>
      </c>
      <c r="J264" t="inlineStr"/>
      <c r="K264" t="inlineStr"/>
      <c r="L264" t="inlineStr">
        <is>
          <t>limited edition</t>
        </is>
      </c>
      <c r="M264" t="n">
        <v>4000</v>
      </c>
      <c r="N264" t="n">
        <v>22.99</v>
      </c>
      <c r="O264" t="inlineStr">
        <is>
          <t>USD</t>
        </is>
      </c>
      <c r="P264" t="inlineStr"/>
      <c r="Q264" t="inlineStr"/>
      <c r="R264" t="n">
        <v>11</v>
      </c>
      <c r="S264">
        <f>IF(Q264="","",MAX(Q264-R264,0))</f>
        <v/>
      </c>
      <c r="T264" s="3">
        <f>IF(Q264="","",MIN(R264/Q264,1))</f>
        <v/>
      </c>
      <c r="U264" t="inlineStr">
        <is>
          <t>Captain Hook; Chernabog; Cruella de Vil; Hades; Jafar; Maleficent; Old Hag; Old Hag (Evil Queen); Queen of Hearts; Scar; Ursula; Yzma</t>
        </is>
      </c>
      <c r="V264" t="inlineStr"/>
      <c r="W264" t="inlineStr">
        <is>
          <t>evidenced</t>
        </is>
      </c>
      <c r="X264" t="inlineStr">
        <is>
          <t>Low</t>
        </is>
      </c>
      <c r="Y264" t="inlineStr">
        <is>
          <t>https://disneypinsblog.com/complete-inkwells-of-evil-disney-pin-collection/</t>
        </is>
      </c>
      <c r="Z264" t="inlineStr">
        <is>
          <t>secondary</t>
        </is>
      </c>
      <c r="AA264" t="inlineStr">
        <is>
          <t>https://wdwnt.com/2025/02/first-look-at-limited-edition-anniversary-magic-key-and-more-disney-pins-coming-to-disneyland-and-disney-world-in-2025/</t>
        </is>
      </c>
      <c r="AB264" t="n">
        <v>2</v>
      </c>
      <c r="AC264" t="inlineStr"/>
      <c r="AD264" t="inlineStr"/>
      <c r="AE264" t="inlineStr"/>
      <c r="AF264" t="inlineStr"/>
      <c r="AG264" t="inlineStr">
        <is>
          <t>wdw/2025/inkwells-of-evil</t>
        </is>
      </c>
    </row>
    <row r="265">
      <c r="A265" t="inlineStr">
        <is>
          <t>PHS-0264</t>
        </is>
      </c>
      <c r="B265" t="inlineStr">
        <is>
          <t>A Goofy Movie 30th Anniversary Pin</t>
        </is>
      </c>
      <c r="C265" t="inlineStr">
        <is>
          <t>Walt Disney World</t>
        </is>
      </c>
      <c r="D265" t="inlineStr"/>
      <c r="E265" t="inlineStr">
        <is>
          <t>2025-03</t>
        </is>
      </c>
      <c r="F265" t="n">
        <v>2025</v>
      </c>
      <c r="G265" t="inlineStr"/>
      <c r="H265" t="inlineStr"/>
      <c r="I265" t="inlineStr"/>
      <c r="J265" t="inlineStr"/>
      <c r="K265" t="inlineStr"/>
      <c r="L265" t="inlineStr">
        <is>
          <t>limited edition</t>
        </is>
      </c>
      <c r="M265" t="n">
        <v>4000</v>
      </c>
      <c r="N265" t="n">
        <v>22.99</v>
      </c>
      <c r="O265" t="inlineStr">
        <is>
          <t>USD</t>
        </is>
      </c>
      <c r="P265" t="inlineStr"/>
      <c r="Q265" t="n">
        <v>1</v>
      </c>
      <c r="R265" t="n">
        <v>1</v>
      </c>
      <c r="S265">
        <f>IF(Q265="","",MAX(Q265-R265,0))</f>
        <v/>
      </c>
      <c r="T265" s="3">
        <f>IF(Q265="","",MIN(R265/Q265,1))</f>
        <v/>
      </c>
      <c r="U265" t="inlineStr">
        <is>
          <t>Goofy; Lester; Max</t>
        </is>
      </c>
      <c r="V265" t="inlineStr"/>
      <c r="W265" t="inlineStr">
        <is>
          <t>evidenced</t>
        </is>
      </c>
      <c r="X265" t="inlineStr">
        <is>
          <t>Low</t>
        </is>
      </c>
      <c r="Y265" t="inlineStr">
        <is>
          <t>https://mickeyblog.com/2025/03/28/stand-out-with-this-new-a-goofy-movie-30th-anniversary-magicband/</t>
        </is>
      </c>
      <c r="Z265" t="inlineStr">
        <is>
          <t>secondary</t>
        </is>
      </c>
      <c r="AA265" t="inlineStr">
        <is>
          <t>https://wdwnt.com/2025/03/new-limited-edition-pins-available-at-walt-disney-world/</t>
        </is>
      </c>
      <c r="AB265" t="n">
        <v>2</v>
      </c>
      <c r="AC265" t="inlineStr"/>
      <c r="AD265" t="inlineStr"/>
      <c r="AE265" t="inlineStr"/>
      <c r="AF265" t="inlineStr"/>
      <c r="AG265" t="inlineStr">
        <is>
          <t>wdw/2025/a-goofy-movie-30th-le</t>
        </is>
      </c>
    </row>
    <row r="266">
      <c r="A266" t="inlineStr">
        <is>
          <t>PHS-0265</t>
        </is>
      </c>
      <c r="B266" t="inlineStr">
        <is>
          <t>Eggstravaganza 2025 Pin</t>
        </is>
      </c>
      <c r="C266" t="inlineStr">
        <is>
          <t>Walt Disney World</t>
        </is>
      </c>
      <c r="D266" t="inlineStr"/>
      <c r="E266" t="inlineStr">
        <is>
          <t>2025-03</t>
        </is>
      </c>
      <c r="F266" t="n">
        <v>2025</v>
      </c>
      <c r="G266" t="inlineStr"/>
      <c r="H266" t="inlineStr"/>
      <c r="I266" t="inlineStr"/>
      <c r="J266" t="inlineStr"/>
      <c r="K266" t="inlineStr"/>
      <c r="L266" t="inlineStr">
        <is>
          <t>limited edition</t>
        </is>
      </c>
      <c r="M266" t="n">
        <v>5000</v>
      </c>
      <c r="N266" t="n">
        <v>22.99</v>
      </c>
      <c r="O266" t="inlineStr">
        <is>
          <t>USD</t>
        </is>
      </c>
      <c r="P266" t="inlineStr"/>
      <c r="Q266" t="n">
        <v>1</v>
      </c>
      <c r="R266" t="n">
        <v>1</v>
      </c>
      <c r="S266">
        <f>IF(Q266="","",MAX(Q266-R266,0))</f>
        <v/>
      </c>
      <c r="T266" s="3">
        <f>IF(Q266="","",MIN(R266/Q266,1))</f>
        <v/>
      </c>
      <c r="U266" t="inlineStr">
        <is>
          <t>Mickey Mouse</t>
        </is>
      </c>
      <c r="V266" t="inlineStr"/>
      <c r="W266" t="inlineStr">
        <is>
          <t>evidenced</t>
        </is>
      </c>
      <c r="X266" t="inlineStr">
        <is>
          <t>Low</t>
        </is>
      </c>
      <c r="Y266" t="inlineStr">
        <is>
          <t>https://wdwnt.com/2025/03/new-limited-edition-pins-available-at-walt-disney-world/</t>
        </is>
      </c>
      <c r="Z266" t="inlineStr">
        <is>
          <t>secondary</t>
        </is>
      </c>
      <c r="AA266" t="inlineStr"/>
      <c r="AB266" t="n">
        <v>1</v>
      </c>
      <c r="AC266" t="inlineStr"/>
      <c r="AD266" t="inlineStr"/>
      <c r="AE266" t="inlineStr"/>
      <c r="AF266" t="inlineStr"/>
      <c r="AG266" t="inlineStr">
        <is>
          <t>wdw/2025/eggstravaganza-2025-le</t>
        </is>
      </c>
    </row>
    <row r="267">
      <c r="A267" t="inlineStr">
        <is>
          <t>PHS-0266</t>
        </is>
      </c>
      <c r="B267" t="inlineStr">
        <is>
          <t>Disney Wondrous Worlds - The Little Mermaid</t>
        </is>
      </c>
      <c r="C267" t="inlineStr">
        <is>
          <t>Walt Disney World</t>
        </is>
      </c>
      <c r="D267" t="inlineStr"/>
      <c r="E267" t="inlineStr">
        <is>
          <t>2025-04</t>
        </is>
      </c>
      <c r="F267" t="n">
        <v>2025</v>
      </c>
      <c r="G267" t="inlineStr"/>
      <c r="H267" t="inlineStr"/>
      <c r="I267" t="inlineStr"/>
      <c r="J267" t="inlineStr"/>
      <c r="K267" t="inlineStr"/>
      <c r="L267" t="inlineStr">
        <is>
          <t>limited edition</t>
        </is>
      </c>
      <c r="M267" t="n">
        <v>1500</v>
      </c>
      <c r="N267" t="n">
        <v>34.99</v>
      </c>
      <c r="O267" t="inlineStr">
        <is>
          <t>USD</t>
        </is>
      </c>
      <c r="P267" t="inlineStr"/>
      <c r="Q267" t="n">
        <v>1</v>
      </c>
      <c r="R267" t="n">
        <v>1</v>
      </c>
      <c r="S267">
        <f>IF(Q267="","",MAX(Q267-R267,0))</f>
        <v/>
      </c>
      <c r="T267" s="3">
        <f>IF(Q267="","",MIN(R267/Q267,1))</f>
        <v/>
      </c>
      <c r="U267" t="inlineStr">
        <is>
          <t>Ariel; Flounder</t>
        </is>
      </c>
      <c r="V267" t="inlineStr"/>
      <c r="W267" t="inlineStr">
        <is>
          <t>evidenced</t>
        </is>
      </c>
      <c r="X267" t="inlineStr">
        <is>
          <t>Low</t>
        </is>
      </c>
      <c r="Y267" t="inlineStr">
        <is>
          <t>https://disneypinsblog.com/new-disney-pins-april-2025-week-3/</t>
        </is>
      </c>
      <c r="Z267" t="inlineStr">
        <is>
          <t>secondary</t>
        </is>
      </c>
      <c r="AA267" t="inlineStr">
        <is>
          <t>https://wdwnt.com/2025/04/the-little-mermaid-pirates-of-the-caribbean-and-other-new-limited-edition-disney-trading-pins-at-walt-disney-world/</t>
        </is>
      </c>
      <c r="AB267" t="n">
        <v>2</v>
      </c>
      <c r="AC267" t="inlineStr"/>
      <c r="AD267" t="inlineStr"/>
      <c r="AE267" t="inlineStr"/>
      <c r="AF267" t="inlineStr"/>
      <c r="AG267" t="inlineStr">
        <is>
          <t>wdw/2025/the-little-mermaid-wondrous-worlds-le</t>
        </is>
      </c>
    </row>
    <row r="268">
      <c r="A268" t="inlineStr">
        <is>
          <t>PHS-0267</t>
        </is>
      </c>
      <c r="B268" t="inlineStr">
        <is>
          <t>Spring 2025 Walt Disney World Pin Trading Night</t>
        </is>
      </c>
      <c r="C268" t="inlineStr">
        <is>
          <t>Walt Disney World</t>
        </is>
      </c>
      <c r="D268" t="inlineStr"/>
      <c r="E268" t="inlineStr">
        <is>
          <t>2025-05-22</t>
        </is>
      </c>
      <c r="F268" t="n">
        <v>2025</v>
      </c>
      <c r="G268" t="inlineStr"/>
      <c r="H268" t="inlineStr"/>
      <c r="I268" t="inlineStr">
        <is>
          <t>event release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7</v>
      </c>
      <c r="S268">
        <f>IF(Q268="","",MAX(Q268-R268,0))</f>
        <v/>
      </c>
      <c r="T268" s="3">
        <f>IF(Q268="","",MIN(R268/Q268,1))</f>
        <v/>
      </c>
      <c r="U268" t="inlineStr">
        <is>
          <t>Cinderella; Prince Charming; Dumbo; Pocahontas; John Smith; Stitch; Toy Story 3 15th Anniversary pin</t>
        </is>
      </c>
      <c r="V268" t="inlineStr"/>
      <c r="W268" t="inlineStr">
        <is>
          <t>evidenced</t>
        </is>
      </c>
      <c r="X268" t="inlineStr">
        <is>
          <t>Low</t>
        </is>
      </c>
      <c r="Y268" t="inlineStr">
        <is>
          <t>https://disneypinsblog.com/new-disney-pins-may-2025-week-4/</t>
        </is>
      </c>
      <c r="Z268" t="inlineStr">
        <is>
          <t>secondary</t>
        </is>
      </c>
      <c r="AA268" t="inlineStr">
        <is>
          <t>https://wdwnt.com/2025/04/catalog-released-for-sold-out-spring-2025-walt-disney-world-pin-trading-night/</t>
        </is>
      </c>
      <c r="AB268" t="n">
        <v>2</v>
      </c>
      <c r="AC268" t="inlineStr"/>
      <c r="AD268" t="inlineStr"/>
      <c r="AE268" t="inlineStr"/>
      <c r="AF268" t="inlineStr"/>
      <c r="AG268" t="inlineStr">
        <is>
          <t>wdw/2025/spring-2025-pin-trading-night</t>
        </is>
      </c>
    </row>
    <row r="269">
      <c r="A269" t="inlineStr">
        <is>
          <t>PHS-0268</t>
        </is>
      </c>
      <c r="B269" t="inlineStr">
        <is>
          <t>Tiana Sweet Treat Day 2025 Pin</t>
        </is>
      </c>
      <c r="C269" t="inlineStr">
        <is>
          <t>Walt Disney World</t>
        </is>
      </c>
      <c r="D269" t="inlineStr"/>
      <c r="E269" t="inlineStr">
        <is>
          <t>2025-09-23</t>
        </is>
      </c>
      <c r="F269" t="n">
        <v>2025</v>
      </c>
      <c r="G269" t="inlineStr"/>
      <c r="H269" t="inlineStr"/>
      <c r="I269" t="inlineStr"/>
      <c r="J269" t="inlineStr"/>
      <c r="K269" t="inlineStr"/>
      <c r="L269" t="inlineStr">
        <is>
          <t>limited release</t>
        </is>
      </c>
      <c r="M269" t="inlineStr"/>
      <c r="N269" t="n">
        <v>19.99</v>
      </c>
      <c r="O269" t="inlineStr">
        <is>
          <t>USD</t>
        </is>
      </c>
      <c r="P269" t="inlineStr"/>
      <c r="Q269" t="n">
        <v>1</v>
      </c>
      <c r="R269" t="n">
        <v>1</v>
      </c>
      <c r="S269">
        <f>IF(Q269="","",MAX(Q269-R269,0))</f>
        <v/>
      </c>
      <c r="T269" s="3">
        <f>IF(Q269="","",MIN(R269/Q269,1))</f>
        <v/>
      </c>
      <c r="U269" t="inlineStr">
        <is>
          <t>Tiana</t>
        </is>
      </c>
      <c r="V269" t="inlineStr"/>
      <c r="W269" t="inlineStr">
        <is>
          <t>evidenced</t>
        </is>
      </c>
      <c r="X269" t="inlineStr">
        <is>
          <t>Low</t>
        </is>
      </c>
      <c r="Y269" t="inlineStr">
        <is>
          <t>https://disneymouseketeer.com/tiana-sweet-treat-day-2025-limited-release-pin/</t>
        </is>
      </c>
      <c r="Z269" t="inlineStr">
        <is>
          <t>secondary</t>
        </is>
      </c>
      <c r="AA269" t="inlineStr">
        <is>
          <t>https://wdwnt.com/2025/09/pin-tuesday-tianas-sweet-treats-and-dining-series-now-available-at-disney-world/</t>
        </is>
      </c>
      <c r="AB269" t="n">
        <v>2</v>
      </c>
      <c r="AC269" t="inlineStr"/>
      <c r="AD269" t="inlineStr"/>
      <c r="AE269" t="inlineStr"/>
      <c r="AF269" t="inlineStr"/>
      <c r="AG269" t="inlineStr">
        <is>
          <t>wdw/2025/tiana-sweet-treat-day-2025-lr</t>
        </is>
      </c>
    </row>
    <row r="270">
      <c r="A270" t="inlineStr">
        <is>
          <t>PHS-0269</t>
        </is>
      </c>
      <c r="B270" t="inlineStr">
        <is>
          <t>Genie Medal (25 Years of Disney Pins)</t>
        </is>
      </c>
      <c r="C270" t="inlineStr">
        <is>
          <t>Walt Disney World</t>
        </is>
      </c>
      <c r="D270" t="inlineStr"/>
      <c r="E270" t="inlineStr">
        <is>
          <t>2025-11-11</t>
        </is>
      </c>
      <c r="F270" t="n">
        <v>2025</v>
      </c>
      <c r="G270" t="inlineStr"/>
      <c r="H270" t="inlineStr"/>
      <c r="I270" t="inlineStr"/>
      <c r="J270" t="inlineStr"/>
      <c r="K270" t="inlineStr"/>
      <c r="L270" t="inlineStr">
        <is>
          <t>limited edition</t>
        </is>
      </c>
      <c r="M270" t="n">
        <v>4000</v>
      </c>
      <c r="N270" t="n">
        <v>22.99</v>
      </c>
      <c r="O270" t="inlineStr">
        <is>
          <t>USD</t>
        </is>
      </c>
      <c r="P270" t="inlineStr"/>
      <c r="Q270" t="n">
        <v>1</v>
      </c>
      <c r="R270" t="n">
        <v>1</v>
      </c>
      <c r="S270">
        <f>IF(Q270="","",MAX(Q270-R270,0))</f>
        <v/>
      </c>
      <c r="T270" s="3">
        <f>IF(Q270="","",MIN(R270/Q270,1))</f>
        <v/>
      </c>
      <c r="U270" t="inlineStr">
        <is>
          <t>Genie</t>
        </is>
      </c>
      <c r="V270" t="inlineStr"/>
      <c r="W270" t="inlineStr">
        <is>
          <t>evidenced</t>
        </is>
      </c>
      <c r="X270" t="inlineStr">
        <is>
          <t>Low</t>
        </is>
      </c>
      <c r="Y270" t="inlineStr">
        <is>
          <t>https://wdwnt.com/2025/11/disney-world-pin-tuesday-tangled-15th-fantasia-genie-medal/</t>
        </is>
      </c>
      <c r="Z270" t="inlineStr">
        <is>
          <t>secondary</t>
        </is>
      </c>
      <c r="AA270" t="inlineStr"/>
      <c r="AB270" t="n">
        <v>1</v>
      </c>
      <c r="AC270" t="inlineStr"/>
      <c r="AD270" t="inlineStr"/>
      <c r="AE270" t="inlineStr"/>
      <c r="AF270" t="inlineStr"/>
      <c r="AG270" t="inlineStr">
        <is>
          <t>wdw/2025/genie-medal-25-years-pins-le</t>
        </is>
      </c>
    </row>
    <row r="271">
      <c r="A271" t="inlineStr">
        <is>
          <t>PHS-0270</t>
        </is>
      </c>
      <c r="B271" t="inlineStr">
        <is>
          <t>Tangled 15th Anniversary Snuggly Duckling Pin</t>
        </is>
      </c>
      <c r="C271" t="inlineStr">
        <is>
          <t>Walt Disney World</t>
        </is>
      </c>
      <c r="D271" t="inlineStr"/>
      <c r="E271" t="inlineStr">
        <is>
          <t>2025-11-11</t>
        </is>
      </c>
      <c r="F271" t="n">
        <v>2025</v>
      </c>
      <c r="G271" t="inlineStr"/>
      <c r="H271" t="inlineStr"/>
      <c r="I271" t="inlineStr"/>
      <c r="J271" t="inlineStr"/>
      <c r="K271" t="inlineStr"/>
      <c r="L271" t="inlineStr">
        <is>
          <t>limited edition</t>
        </is>
      </c>
      <c r="M271" t="n">
        <v>4000</v>
      </c>
      <c r="N271" t="n">
        <v>22.99</v>
      </c>
      <c r="O271" t="inlineStr">
        <is>
          <t>USD</t>
        </is>
      </c>
      <c r="P271" t="inlineStr"/>
      <c r="Q271" t="n">
        <v>1</v>
      </c>
      <c r="R271" t="n">
        <v>1</v>
      </c>
      <c r="S271">
        <f>IF(Q271="","",MAX(Q271-R271,0))</f>
        <v/>
      </c>
      <c r="T271" s="3">
        <f>IF(Q271="","",MIN(R271/Q271,1))</f>
        <v/>
      </c>
      <c r="U271" t="inlineStr">
        <is>
          <t>Rapunzel</t>
        </is>
      </c>
      <c r="V271" t="inlineStr"/>
      <c r="W271" t="inlineStr">
        <is>
          <t>evidenced</t>
        </is>
      </c>
      <c r="X271" t="inlineStr">
        <is>
          <t>Low</t>
        </is>
      </c>
      <c r="Y271" t="inlineStr">
        <is>
          <t>https://wdwnt.com/2025/11/disney-world-pin-tuesday-tangled-15th-fantasia-genie-medal/</t>
        </is>
      </c>
      <c r="Z271" t="inlineStr">
        <is>
          <t>secondary</t>
        </is>
      </c>
      <c r="AA271" t="inlineStr"/>
      <c r="AB271" t="n">
        <v>1</v>
      </c>
      <c r="AC271" t="inlineStr"/>
      <c r="AD271" t="inlineStr"/>
      <c r="AE271" t="inlineStr"/>
      <c r="AF271" t="inlineStr"/>
      <c r="AG271" t="inlineStr">
        <is>
          <t>wdw/2025/tangled-15th-snuggly-duckling-le</t>
        </is>
      </c>
    </row>
    <row r="272">
      <c r="A272" t="inlineStr">
        <is>
          <t>PHS-0271</t>
        </is>
      </c>
      <c r="B272" t="inlineStr">
        <is>
          <t>Disney Pin Trading 25th Anniversary pins (Nov 2025)</t>
        </is>
      </c>
      <c r="C272" t="inlineStr">
        <is>
          <t>Walt Disney World</t>
        </is>
      </c>
      <c r="D272" t="inlineStr"/>
      <c r="E272" t="inlineStr">
        <is>
          <t>2025-11-18</t>
        </is>
      </c>
      <c r="F272" t="n">
        <v>2025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>
        <f>IF(Q272="","",MAX(Q272-R272,0))</f>
        <v/>
      </c>
      <c r="T272" s="3">
        <f>IF(Q272="","",MIN(R272/Q272,1))</f>
        <v/>
      </c>
      <c r="U272" t="inlineStr">
        <is>
          <t>Pin Trading 25th Anniversary Mini Jumbo; Pin Trading 25th Anniversary Spinner Pin; Pin Trading 25th Anniversary Pin</t>
        </is>
      </c>
      <c r="V272" t="inlineStr"/>
      <c r="W272" t="inlineStr">
        <is>
          <t>evidenced</t>
        </is>
      </c>
      <c r="X272" t="inlineStr">
        <is>
          <t>Low</t>
        </is>
      </c>
      <c r="Y272" t="inlineStr">
        <is>
          <t>https://wdwnt.com/2025/11/disney-world-pin-tuesday-trading-25th-pluto-christmas/</t>
        </is>
      </c>
      <c r="Z272" t="inlineStr">
        <is>
          <t>secondary</t>
        </is>
      </c>
      <c r="AA272" t="inlineStr"/>
      <c r="AB272" t="n">
        <v>1</v>
      </c>
      <c r="AC272" t="inlineStr"/>
      <c r="AD272" t="inlineStr"/>
      <c r="AE272" t="inlineStr"/>
      <c r="AF272" t="inlineStr"/>
      <c r="AG272" t="inlineStr">
        <is>
          <t>wdw/2025/pin-trading-25th-anniversary-nov-2025</t>
        </is>
      </c>
    </row>
    <row r="273">
      <c r="A273" t="inlineStr">
        <is>
          <t>PHS-0272</t>
        </is>
      </c>
      <c r="B273" t="inlineStr">
        <is>
          <t>Miss Piggy &amp; Kermit New Year's Eve Pin</t>
        </is>
      </c>
      <c r="C273" t="inlineStr">
        <is>
          <t>Walt Disney World</t>
        </is>
      </c>
      <c r="D273" t="inlineStr"/>
      <c r="E273" t="inlineStr">
        <is>
          <t>2025-12-16</t>
        </is>
      </c>
      <c r="F273" t="n">
        <v>2025</v>
      </c>
      <c r="G273" t="inlineStr"/>
      <c r="H273" t="inlineStr"/>
      <c r="I273" t="inlineStr"/>
      <c r="J273" t="inlineStr"/>
      <c r="K273" t="inlineStr"/>
      <c r="L273" t="inlineStr">
        <is>
          <t>limited edition</t>
        </is>
      </c>
      <c r="M273" t="inlineStr"/>
      <c r="N273" t="n">
        <v>22.99</v>
      </c>
      <c r="O273" t="inlineStr">
        <is>
          <t>USD</t>
        </is>
      </c>
      <c r="P273" t="inlineStr"/>
      <c r="Q273" t="n">
        <v>1</v>
      </c>
      <c r="R273" t="n">
        <v>1</v>
      </c>
      <c r="S273">
        <f>IF(Q273="","",MAX(Q273-R273,0))</f>
        <v/>
      </c>
      <c r="T273" s="3">
        <f>IF(Q273="","",MIN(R273/Q273,1))</f>
        <v/>
      </c>
      <c r="U273" t="inlineStr">
        <is>
          <t>Kermit the Frog; Miss Piggy</t>
        </is>
      </c>
      <c r="V273" t="inlineStr"/>
      <c r="W273" t="inlineStr">
        <is>
          <t>evidenced</t>
        </is>
      </c>
      <c r="X273" t="inlineStr">
        <is>
          <t>Low</t>
        </is>
      </c>
      <c r="Y273" t="inlineStr">
        <is>
          <t>https://disneypinsblog.com/new-disney-pins-december-2025-week-3/</t>
        </is>
      </c>
      <c r="Z273" t="inlineStr">
        <is>
          <t>secondary</t>
        </is>
      </c>
      <c r="AA273" t="inlineStr">
        <is>
          <t>https://muppet.fandom.com/wiki/Muppet_pins_(Disney)</t>
        </is>
      </c>
      <c r="AB273" t="n">
        <v>4</v>
      </c>
      <c r="AC273" t="inlineStr"/>
      <c r="AD273" t="inlineStr"/>
      <c r="AE273" t="inlineStr"/>
      <c r="AF273" t="inlineStr"/>
      <c r="AG273" t="inlineStr">
        <is>
          <t>wdw/2025/miss-piggy-kermit-new-years-eve-le</t>
        </is>
      </c>
    </row>
    <row r="274">
      <c r="A274" t="inlineStr">
        <is>
          <t>PHS-0273</t>
        </is>
      </c>
      <c r="B274" t="inlineStr">
        <is>
          <t>Star Wars: The Force Awakens 10th Anniversary pins</t>
        </is>
      </c>
      <c r="C274" t="inlineStr">
        <is>
          <t>Walt Disney World</t>
        </is>
      </c>
      <c r="D274" t="inlineStr"/>
      <c r="E274" t="inlineStr">
        <is>
          <t>2025-12-16</t>
        </is>
      </c>
      <c r="F274" t="n">
        <v>2025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</v>
      </c>
      <c r="S274">
        <f>IF(Q274="","",MAX(Q274-R274,0))</f>
        <v/>
      </c>
      <c r="T274" s="3">
        <f>IF(Q274="","",MIN(R274/Q274,1))</f>
        <v/>
      </c>
      <c r="U274" t="inlineStr">
        <is>
          <t>Star Wars: The Force Awakens 10th Anniversary Logo Pin; Kylo Ren; Rey</t>
        </is>
      </c>
      <c r="V274" t="inlineStr"/>
      <c r="W274" t="inlineStr">
        <is>
          <t>evidenced</t>
        </is>
      </c>
      <c r="X274" t="inlineStr">
        <is>
          <t>Low</t>
        </is>
      </c>
      <c r="Y274" t="inlineStr">
        <is>
          <t>https://www.disneystore.com.au/star-wars-the-force-awakens-10th-anniversary-logo-pin-438010161938.html</t>
        </is>
      </c>
      <c r="Z274" t="inlineStr">
        <is>
          <t>official</t>
        </is>
      </c>
      <c r="AA274" t="inlineStr">
        <is>
          <t>https://disneypinsblog.com/new-disney-pins-december-2025-week-3/</t>
        </is>
      </c>
      <c r="AB274" t="n">
        <v>3</v>
      </c>
      <c r="AC274" t="inlineStr"/>
      <c r="AD274" t="inlineStr"/>
      <c r="AE274" t="inlineStr"/>
      <c r="AF274" t="inlineStr"/>
      <c r="AG274" t="inlineStr">
        <is>
          <t>wdw/2025/star-wars-force-awakens-10th</t>
        </is>
      </c>
    </row>
    <row r="275">
      <c r="A275" t="inlineStr">
        <is>
          <t>PHS-0274</t>
        </is>
      </c>
      <c r="B275" t="inlineStr">
        <is>
          <t>Lunar New Year 2026 Pin (WDW)</t>
        </is>
      </c>
      <c r="C275" t="inlineStr">
        <is>
          <t>Walt Disney World</t>
        </is>
      </c>
      <c r="D275" t="inlineStr"/>
      <c r="E275" t="inlineStr">
        <is>
          <t>2025-12-23</t>
        </is>
      </c>
      <c r="F275" t="n">
        <v>2025</v>
      </c>
      <c r="G275" t="inlineStr"/>
      <c r="H275" t="inlineStr"/>
      <c r="I275" t="inlineStr"/>
      <c r="J275" t="inlineStr"/>
      <c r="K275" t="inlineStr"/>
      <c r="L275" t="inlineStr">
        <is>
          <t>limited edition</t>
        </is>
      </c>
      <c r="M275" t="n">
        <v>2000</v>
      </c>
      <c r="N275" t="n">
        <v>22.99</v>
      </c>
      <c r="O275" t="inlineStr">
        <is>
          <t>USD</t>
        </is>
      </c>
      <c r="P275" t="inlineStr"/>
      <c r="Q275" t="n">
        <v>1</v>
      </c>
      <c r="R275" t="n">
        <v>1</v>
      </c>
      <c r="S275">
        <f>IF(Q275="","",MAX(Q275-R275,0))</f>
        <v/>
      </c>
      <c r="T275" s="3">
        <f>IF(Q275="","",MIN(R275/Q275,1))</f>
        <v/>
      </c>
      <c r="U275" t="inlineStr">
        <is>
          <t>Mickey Mouse; Minnie Mouse</t>
        </is>
      </c>
      <c r="V275" t="inlineStr"/>
      <c r="W275" t="inlineStr">
        <is>
          <t>evidenced</t>
        </is>
      </c>
      <c r="X275" t="inlineStr">
        <is>
          <t>Low</t>
        </is>
      </c>
      <c r="Y275" t="inlineStr">
        <is>
          <t>https://wdwnt.com/2025/12/disney-world-pin-tuesday-be-our-guest-lunar-new-year/</t>
        </is>
      </c>
      <c r="Z275" t="inlineStr">
        <is>
          <t>secondary</t>
        </is>
      </c>
      <c r="AA275" t="inlineStr"/>
      <c r="AB275" t="n">
        <v>1</v>
      </c>
      <c r="AC275" t="inlineStr"/>
      <c r="AD275" t="inlineStr"/>
      <c r="AE275" t="inlineStr"/>
      <c r="AF275" t="inlineStr"/>
      <c r="AG275" t="inlineStr">
        <is>
          <t>wdw/2025/lunar-new-year-2026-le</t>
        </is>
      </c>
    </row>
    <row r="276">
      <c r="A276" t="inlineStr">
        <is>
          <t>PHS-0275</t>
        </is>
      </c>
      <c r="B276" t="inlineStr">
        <is>
          <t>Enchanted Doors (Pin of the Month)</t>
        </is>
      </c>
      <c r="C276" t="inlineStr">
        <is>
          <t>Walt Disney World</t>
        </is>
      </c>
      <c r="D276" t="inlineStr"/>
      <c r="E276" t="inlineStr">
        <is>
          <t>2026</t>
        </is>
      </c>
      <c r="F276" t="n">
        <v>2026</v>
      </c>
      <c r="G276" t="inlineStr"/>
      <c r="H276" t="inlineStr"/>
      <c r="I276" t="inlineStr">
        <is>
          <t>monthly LE single-pin series</t>
        </is>
      </c>
      <c r="J276" t="inlineStr"/>
      <c r="K276" t="inlineStr"/>
      <c r="L276" t="inlineStr"/>
      <c r="M276" t="n">
        <v>2500</v>
      </c>
      <c r="N276" t="n">
        <v>26.99</v>
      </c>
      <c r="O276" t="inlineStr"/>
      <c r="P276" t="inlineStr"/>
      <c r="Q276" t="n">
        <v>12</v>
      </c>
      <c r="R276" t="n">
        <v>3</v>
      </c>
      <c r="S276">
        <f>IF(Q276="","",MAX(Q276-R276,0))</f>
        <v/>
      </c>
      <c r="T276" s="3">
        <f>IF(Q276="","",MIN(R276/Q276,1))</f>
        <v/>
      </c>
      <c r="U276" t="inlineStr">
        <is>
          <t>Kuzco; Pacha; Madam Mim; Pinocchio</t>
        </is>
      </c>
      <c r="V276" t="inlineStr"/>
      <c r="W276" t="inlineStr">
        <is>
          <t>evidenced</t>
        </is>
      </c>
      <c r="X276" t="inlineStr">
        <is>
          <t>Low</t>
        </is>
      </c>
      <c r="Y276" t="inlineStr">
        <is>
          <t>https://disneypinsblog.com/new-disney-pins-june-2026-week-3/</t>
        </is>
      </c>
      <c r="Z276" t="inlineStr">
        <is>
          <t>secondary</t>
        </is>
      </c>
      <c r="AA276" t="inlineStr">
        <is>
          <t>https://disneypinsblog.com/new-disney-pins-march-2026-week-3/</t>
        </is>
      </c>
      <c r="AB276" t="n">
        <v>2</v>
      </c>
      <c r="AC276" t="inlineStr"/>
      <c r="AD276" t="inlineStr"/>
      <c r="AE276" t="inlineStr"/>
      <c r="AF276" t="inlineStr"/>
      <c r="AG276" t="inlineStr">
        <is>
          <t>wdw/2026/enchanted-doors</t>
        </is>
      </c>
    </row>
    <row r="277">
      <c r="A277" t="inlineStr">
        <is>
          <t>PHS-0276</t>
        </is>
      </c>
      <c r="B277" t="inlineStr">
        <is>
          <t>Deadpool 10th Anniversary Pin</t>
        </is>
      </c>
      <c r="C277" t="inlineStr">
        <is>
          <t>Walt Disney World</t>
        </is>
      </c>
      <c r="D277" t="inlineStr"/>
      <c r="E277" t="inlineStr">
        <is>
          <t>2026-01-27</t>
        </is>
      </c>
      <c r="F277" t="n">
        <v>2026</v>
      </c>
      <c r="G277" t="inlineStr"/>
      <c r="H277" t="inlineStr"/>
      <c r="I277" t="inlineStr"/>
      <c r="J277" t="inlineStr"/>
      <c r="K277" t="inlineStr"/>
      <c r="L277" t="inlineStr">
        <is>
          <t>limited release</t>
        </is>
      </c>
      <c r="M277" t="inlineStr"/>
      <c r="N277" t="n">
        <v>21.99</v>
      </c>
      <c r="O277" t="inlineStr">
        <is>
          <t>USD</t>
        </is>
      </c>
      <c r="P277" t="inlineStr"/>
      <c r="Q277" t="n">
        <v>1</v>
      </c>
      <c r="R277" t="n">
        <v>1</v>
      </c>
      <c r="S277">
        <f>IF(Q277="","",MAX(Q277-R277,0))</f>
        <v/>
      </c>
      <c r="T277" s="3">
        <f>IF(Q277="","",MIN(R277/Q277,1))</f>
        <v/>
      </c>
      <c r="U277" t="inlineStr">
        <is>
          <t>Deadpool</t>
        </is>
      </c>
      <c r="V277" t="inlineStr"/>
      <c r="W277" t="inlineStr">
        <is>
          <t>evidenced</t>
        </is>
      </c>
      <c r="X277" t="inlineStr">
        <is>
          <t>Low</t>
        </is>
      </c>
      <c r="Y277" t="inlineStr">
        <is>
          <t>https://www.disneystore.com/deadpool-10th-anniversary-pin-limited-release-438010104492.html</t>
        </is>
      </c>
      <c r="Z277" t="inlineStr">
        <is>
          <t>official</t>
        </is>
      </c>
      <c r="AA277" t="inlineStr">
        <is>
          <t>https://wdwnt.com/2026/01/disney-world-pin-tuesday-deadpool-10th-anniversary-valentines-day-pins/</t>
        </is>
      </c>
      <c r="AB277" t="n">
        <v>2</v>
      </c>
      <c r="AC277" t="inlineStr"/>
      <c r="AD277" t="inlineStr"/>
      <c r="AE277" t="inlineStr"/>
      <c r="AF277" t="inlineStr"/>
      <c r="AG277" t="inlineStr">
        <is>
          <t>wdw/2026/deadpool-10th-anniversary-lr</t>
        </is>
      </c>
    </row>
    <row r="278">
      <c r="A278" t="inlineStr">
        <is>
          <t>PHS-0277</t>
        </is>
      </c>
      <c r="B278" t="inlineStr">
        <is>
          <t>Valentine's Day 2026 pins (WDW)</t>
        </is>
      </c>
      <c r="C278" t="inlineStr">
        <is>
          <t>Walt Disney World</t>
        </is>
      </c>
      <c r="D278" t="inlineStr"/>
      <c r="E278" t="inlineStr">
        <is>
          <t>2026-01-27</t>
        </is>
      </c>
      <c r="F278" t="n">
        <v>2026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>
        <f>IF(Q278="","",MAX(Q278-R278,0))</f>
        <v/>
      </c>
      <c r="T278" s="3">
        <f>IF(Q278="","",MIN(R278/Q278,1))</f>
        <v/>
      </c>
      <c r="U278" t="inlineStr">
        <is>
          <t>Aladdin; Jasmine</t>
        </is>
      </c>
      <c r="V278" t="inlineStr"/>
      <c r="W278" t="inlineStr">
        <is>
          <t>evidenced</t>
        </is>
      </c>
      <c r="X278" t="inlineStr">
        <is>
          <t>Low</t>
        </is>
      </c>
      <c r="Y278" t="inlineStr">
        <is>
          <t>https://www.disneystore.eu/aladdin-and-princess-jasmine-valentines-day-2026-limited-release-pin-438010544007.html</t>
        </is>
      </c>
      <c r="Z278" t="inlineStr">
        <is>
          <t>official</t>
        </is>
      </c>
      <c r="AA278" t="inlineStr">
        <is>
          <t>https://wdwnt.com/2026/01/disney-world-pin-tuesday-deadpool-10th-anniversary-valentines-day-pins/</t>
        </is>
      </c>
      <c r="AB278" t="n">
        <v>2</v>
      </c>
      <c r="AC278" t="inlineStr"/>
      <c r="AD278" t="inlineStr"/>
      <c r="AE278" t="inlineStr"/>
      <c r="AF278" t="inlineStr"/>
      <c r="AG278" t="inlineStr">
        <is>
          <t>wdw/2026/valentines-day-2026</t>
        </is>
      </c>
    </row>
    <row r="279">
      <c r="A279" t="inlineStr">
        <is>
          <t>PHS-0278</t>
        </is>
      </c>
      <c r="B279" t="inlineStr">
        <is>
          <t>High School Musical 20th Anniversary Pin (WDW)</t>
        </is>
      </c>
      <c r="C279" t="inlineStr">
        <is>
          <t>Walt Disney World</t>
        </is>
      </c>
      <c r="D279" t="inlineStr"/>
      <c r="E279" t="inlineStr">
        <is>
          <t>2026-02</t>
        </is>
      </c>
      <c r="F279" t="n">
        <v>2026</v>
      </c>
      <c r="G279" t="inlineStr"/>
      <c r="H279" t="inlineStr"/>
      <c r="I279" t="inlineStr"/>
      <c r="J279" t="inlineStr"/>
      <c r="K279" t="inlineStr"/>
      <c r="L279" t="inlineStr">
        <is>
          <t>limited edition</t>
        </is>
      </c>
      <c r="M279" t="inlineStr"/>
      <c r="N279" t="n">
        <v>24.99</v>
      </c>
      <c r="O279" t="inlineStr">
        <is>
          <t>USD</t>
        </is>
      </c>
      <c r="P279" t="inlineStr"/>
      <c r="Q279" t="n">
        <v>1</v>
      </c>
      <c r="R279" t="n">
        <v>1</v>
      </c>
      <c r="S279">
        <f>IF(Q279="","",MAX(Q279-R279,0))</f>
        <v/>
      </c>
      <c r="T279" s="3">
        <f>IF(Q279="","",MIN(R279/Q279,1))</f>
        <v/>
      </c>
      <c r="U279" t="inlineStr">
        <is>
          <t>High School Musical 20th Anniversary Pin</t>
        </is>
      </c>
      <c r="V279" t="inlineStr"/>
      <c r="W279" t="inlineStr">
        <is>
          <t>evidenced</t>
        </is>
      </c>
      <c r="X279" t="inlineStr">
        <is>
          <t>Low</t>
        </is>
      </c>
      <c r="Y279" t="inlineStr">
        <is>
          <t>https://wdwnt.com/2026/02/disney-world-pin-tuesday-muppets-disneys-hollywood-studios-high-school-musical-20th-anniversary-and-more/</t>
        </is>
      </c>
      <c r="Z279" t="inlineStr">
        <is>
          <t>secondary</t>
        </is>
      </c>
      <c r="AA279" t="inlineStr"/>
      <c r="AB279" t="n">
        <v>1</v>
      </c>
      <c r="AC279" t="inlineStr"/>
      <c r="AD279" t="inlineStr"/>
      <c r="AE279" t="inlineStr"/>
      <c r="AF279" t="inlineStr"/>
      <c r="AG279" t="inlineStr">
        <is>
          <t>wdw/2026/high-school-musical-20th</t>
        </is>
      </c>
    </row>
    <row r="280">
      <c r="A280" t="inlineStr">
        <is>
          <t>PHS-0279</t>
        </is>
      </c>
      <c r="B280" t="inlineStr">
        <is>
          <t>Muppets Disney Park Day - Disney's Hollywood Studios</t>
        </is>
      </c>
      <c r="C280" t="inlineStr">
        <is>
          <t>Walt Disney World</t>
        </is>
      </c>
      <c r="D280" t="inlineStr"/>
      <c r="E280" t="inlineStr">
        <is>
          <t>2026-02</t>
        </is>
      </c>
      <c r="F280" t="n">
        <v>2026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</v>
      </c>
      <c r="R280" t="n">
        <v>2</v>
      </c>
      <c r="S280">
        <f>IF(Q280="","",MAX(Q280-R280,0))</f>
        <v/>
      </c>
      <c r="T280" s="3">
        <f>IF(Q280="","",MIN(R280/Q280,1))</f>
        <v/>
      </c>
      <c r="U280" t="inlineStr">
        <is>
          <t>Rowlf; Rowlf the Dog; Gonzo; Pepe</t>
        </is>
      </c>
      <c r="V280" t="inlineStr"/>
      <c r="W280" t="inlineStr">
        <is>
          <t>evidenced</t>
        </is>
      </c>
      <c r="X280" t="inlineStr">
        <is>
          <t>Low</t>
        </is>
      </c>
      <c r="Y280" t="inlineStr">
        <is>
          <t>https://wdwnt.com/2026/02/disney-world-pin-tuesday-muppets-disneys-hollywood-studios-high-school-musical-20th-anniversary-and-more/</t>
        </is>
      </c>
      <c r="Z280" t="inlineStr">
        <is>
          <t>secondary</t>
        </is>
      </c>
      <c r="AA280" t="inlineStr">
        <is>
          <t>https://www.laughingplace.com/disney-parks/muppets-disney-park-day-pins-february/</t>
        </is>
      </c>
      <c r="AB280" t="n">
        <v>2</v>
      </c>
      <c r="AC280" t="inlineStr"/>
      <c r="AD280" t="inlineStr"/>
      <c r="AE280" t="inlineStr"/>
      <c r="AF280" t="inlineStr"/>
      <c r="AG280" t="inlineStr">
        <is>
          <t>wdw/2026/muppets-disney-park-day-hollywood-studios</t>
        </is>
      </c>
    </row>
    <row r="281">
      <c r="A281" t="inlineStr">
        <is>
          <t>PHS-0280</t>
        </is>
      </c>
      <c r="B281" t="inlineStr">
        <is>
          <t>Chip 'n' Dale Play Along Pin</t>
        </is>
      </c>
      <c r="C281" t="inlineStr">
        <is>
          <t>Walt Disney World</t>
        </is>
      </c>
      <c r="D281" t="inlineStr"/>
      <c r="E281" t="inlineStr">
        <is>
          <t>2026-02-03</t>
        </is>
      </c>
      <c r="F281" t="n">
        <v>2026</v>
      </c>
      <c r="G281" t="inlineStr"/>
      <c r="H281" t="inlineStr"/>
      <c r="I281" t="inlineStr"/>
      <c r="J281" t="inlineStr"/>
      <c r="K281" t="inlineStr"/>
      <c r="L281" t="inlineStr">
        <is>
          <t>limited edition</t>
        </is>
      </c>
      <c r="M281" t="n">
        <v>2000</v>
      </c>
      <c r="N281" t="n">
        <v>24.99</v>
      </c>
      <c r="O281" t="inlineStr">
        <is>
          <t>USD</t>
        </is>
      </c>
      <c r="P281" t="inlineStr"/>
      <c r="Q281" t="n">
        <v>1</v>
      </c>
      <c r="R281" t="n">
        <v>1</v>
      </c>
      <c r="S281">
        <f>IF(Q281="","",MAX(Q281-R281,0))</f>
        <v/>
      </c>
      <c r="T281" s="3">
        <f>IF(Q281="","",MIN(R281/Q281,1))</f>
        <v/>
      </c>
      <c r="U281" t="inlineStr">
        <is>
          <t>Chip; Dale</t>
        </is>
      </c>
      <c r="V281" t="inlineStr"/>
      <c r="W281" t="inlineStr">
        <is>
          <t>evidenced</t>
        </is>
      </c>
      <c r="X281" t="inlineStr">
        <is>
          <t>Low</t>
        </is>
      </c>
      <c r="Y281" t="inlineStr">
        <is>
          <t>https://disneypinsblog.com/blogs/news/new-disney-pins-february-2026-week-1</t>
        </is>
      </c>
      <c r="Z281" t="inlineStr">
        <is>
          <t>secondary</t>
        </is>
      </c>
      <c r="AA281" t="inlineStr">
        <is>
          <t>https://wdwnt.com/2026/02/disney-world-pin-tuesday-the-muppets-chip-n-dale-play-along-pins-windows-of-attraction/</t>
        </is>
      </c>
      <c r="AB281" t="n">
        <v>2</v>
      </c>
      <c r="AC281" t="inlineStr"/>
      <c r="AD281" t="inlineStr"/>
      <c r="AE281" t="inlineStr"/>
      <c r="AF281" t="inlineStr"/>
      <c r="AG281" t="inlineStr">
        <is>
          <t>wdw/2026/chip-n-dale-play-along-le</t>
        </is>
      </c>
    </row>
    <row r="282">
      <c r="A282" t="inlineStr">
        <is>
          <t>PHS-0281</t>
        </is>
      </c>
      <c r="B282" t="inlineStr">
        <is>
          <t>Muppets Disney Park Day - Magic Kingdom</t>
        </is>
      </c>
      <c r="C282" t="inlineStr">
        <is>
          <t>Walt Disney World</t>
        </is>
      </c>
      <c r="D282" t="inlineStr"/>
      <c r="E282" t="inlineStr">
        <is>
          <t>2026-02-03</t>
        </is>
      </c>
      <c r="F282" t="n">
        <v>2026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3</v>
      </c>
      <c r="S282">
        <f>IF(Q282="","",MAX(Q282-R282,0))</f>
        <v/>
      </c>
      <c r="T282" s="3">
        <f>IF(Q282="","",MIN(R282/Q282,1))</f>
        <v/>
      </c>
      <c r="U282" t="inlineStr">
        <is>
          <t>Bean Bunny; Fozzie Bear; Uncle Deadly; Kermit the Frog; Miss Piggy</t>
        </is>
      </c>
      <c r="V282" t="inlineStr"/>
      <c r="W282" t="inlineStr">
        <is>
          <t>evidenced (held)</t>
        </is>
      </c>
      <c r="X282" t="inlineStr">
        <is>
          <t>Low</t>
        </is>
      </c>
      <c r="Y282" t="inlineStr">
        <is>
          <t>https://disneypinsblog.com/blogs/news/new-disney-pins-february-2026-week-1</t>
        </is>
      </c>
      <c r="Z282" t="inlineStr">
        <is>
          <t>secondary</t>
        </is>
      </c>
      <c r="AA282" t="inlineStr">
        <is>
          <t>https://wdwnt.com/2026/02/disney-world-pin-tuesday-the-muppets-chip-n-dale-play-along-pins-windows-of-attraction/</t>
        </is>
      </c>
      <c r="AB282" t="n">
        <v>4</v>
      </c>
      <c r="AC282" t="inlineStr"/>
      <c r="AD282" t="inlineStr"/>
      <c r="AE282" t="inlineStr"/>
      <c r="AF282" t="inlineStr"/>
      <c r="AG282" t="inlineStr">
        <is>
          <t>wdw/2026/muppets-disney-park-day-magic-kingdom</t>
        </is>
      </c>
    </row>
    <row r="283">
      <c r="A283" t="inlineStr">
        <is>
          <t>PHS-0282</t>
        </is>
      </c>
      <c r="B283" t="inlineStr">
        <is>
          <t>Windows of Attraction - Walt Disney World Railroad</t>
        </is>
      </c>
      <c r="C283" t="inlineStr">
        <is>
          <t>Walt Disney World</t>
        </is>
      </c>
      <c r="D283" t="inlineStr"/>
      <c r="E283" t="inlineStr">
        <is>
          <t>2026-02-03</t>
        </is>
      </c>
      <c r="F283" t="n">
        <v>2026</v>
      </c>
      <c r="G283" t="inlineStr"/>
      <c r="H283" t="inlineStr"/>
      <c r="I283" t="inlineStr"/>
      <c r="J283" t="inlineStr"/>
      <c r="K283" t="inlineStr"/>
      <c r="L283" t="inlineStr">
        <is>
          <t>limited edition</t>
        </is>
      </c>
      <c r="M283" t="n">
        <v>2500</v>
      </c>
      <c r="N283" t="n">
        <v>26.99</v>
      </c>
      <c r="O283" t="inlineStr">
        <is>
          <t>USD</t>
        </is>
      </c>
      <c r="P283" t="inlineStr"/>
      <c r="Q283" t="n">
        <v>1</v>
      </c>
      <c r="R283" t="n">
        <v>1</v>
      </c>
      <c r="S283">
        <f>IF(Q283="","",MAX(Q283-R283,0))</f>
        <v/>
      </c>
      <c r="T283" s="3">
        <f>IF(Q283="","",MIN(R283/Q283,1))</f>
        <v/>
      </c>
      <c r="U283" t="inlineStr">
        <is>
          <t>Windows of Attraction: Walt Disney World Railroad</t>
        </is>
      </c>
      <c r="V283" t="inlineStr"/>
      <c r="W283" t="inlineStr">
        <is>
          <t>evidenced</t>
        </is>
      </c>
      <c r="X283" t="inlineStr">
        <is>
          <t>Low</t>
        </is>
      </c>
      <c r="Y283" t="inlineStr">
        <is>
          <t>https://disneypinsblog.com/blogs/news/new-disney-pins-february-2026-week-1</t>
        </is>
      </c>
      <c r="Z283" t="inlineStr">
        <is>
          <t>secondary</t>
        </is>
      </c>
      <c r="AA283" t="inlineStr">
        <is>
          <t>https://wdwnt.com/2026/02/disney-world-pin-tuesday-the-muppets-chip-n-dale-play-along-pins-windows-of-attraction/</t>
        </is>
      </c>
      <c r="AB283" t="n">
        <v>2</v>
      </c>
      <c r="AC283" t="inlineStr"/>
      <c r="AD283" t="inlineStr"/>
      <c r="AE283" t="inlineStr"/>
      <c r="AF283" t="inlineStr"/>
      <c r="AG283" t="inlineStr">
        <is>
          <t>wdw/2026/windows-of-attraction-wdw-railroad-le</t>
        </is>
      </c>
    </row>
    <row r="284">
      <c r="A284" t="inlineStr">
        <is>
          <t>PHS-0283</t>
        </is>
      </c>
      <c r="B284" t="inlineStr">
        <is>
          <t>Muppets Disney Park Day - Disney's Animal Kingdom</t>
        </is>
      </c>
      <c r="C284" t="inlineStr">
        <is>
          <t>Walt Disney World</t>
        </is>
      </c>
      <c r="D284" t="inlineStr"/>
      <c r="E284" t="inlineStr">
        <is>
          <t>2026-02-24</t>
        </is>
      </c>
      <c r="F284" t="n">
        <v>2026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3</v>
      </c>
      <c r="S284">
        <f>IF(Q284="","",MAX(Q284-R284,0))</f>
        <v/>
      </c>
      <c r="T284" s="3">
        <f>IF(Q284="","",MIN(R284/Q284,1))</f>
        <v/>
      </c>
      <c r="U284" t="inlineStr">
        <is>
          <t>Sweetums; Camilla; Gonzo; Animal</t>
        </is>
      </c>
      <c r="V284" t="inlineStr"/>
      <c r="W284" t="inlineStr">
        <is>
          <t>evidenced</t>
        </is>
      </c>
      <c r="X284" t="inlineStr">
        <is>
          <t>Low</t>
        </is>
      </c>
      <c r="Y284" t="inlineStr">
        <is>
          <t>https://disneypinsblog.com/new-disney-pins-february-2026-week-4/</t>
        </is>
      </c>
      <c r="Z284" t="inlineStr">
        <is>
          <t>secondary</t>
        </is>
      </c>
      <c r="AA284" t="inlineStr">
        <is>
          <t>https://wdwnt.com/2026/02/disney-world-pin-tuesday-zootopia-10th-anniversary-muppets-disney-park-day/</t>
        </is>
      </c>
      <c r="AB284" t="n">
        <v>2</v>
      </c>
      <c r="AC284" t="inlineStr"/>
      <c r="AD284" t="inlineStr"/>
      <c r="AE284" t="inlineStr"/>
      <c r="AF284" t="inlineStr"/>
      <c r="AG284" t="inlineStr">
        <is>
          <t>wdw/2026/muppets-disney-park-day-animal-kingdom</t>
        </is>
      </c>
    </row>
    <row r="285">
      <c r="A285" t="inlineStr">
        <is>
          <t>PHS-0284</t>
        </is>
      </c>
      <c r="B285" t="inlineStr">
        <is>
          <t>Zootopia 10th Anniversary pins (WDW)</t>
        </is>
      </c>
      <c r="C285" t="inlineStr">
        <is>
          <t>Walt Disney World</t>
        </is>
      </c>
      <c r="D285" t="inlineStr"/>
      <c r="E285" t="inlineStr">
        <is>
          <t>2026-02-24</t>
        </is>
      </c>
      <c r="F285" t="n">
        <v>2026</v>
      </c>
      <c r="G285" t="inlineStr"/>
      <c r="H285" t="inlineStr"/>
      <c r="I285" t="inlineStr"/>
      <c r="J285" t="inlineStr"/>
      <c r="K285" t="inlineStr"/>
      <c r="L285" t="inlineStr">
        <is>
          <t>limited edition</t>
        </is>
      </c>
      <c r="M285" t="inlineStr"/>
      <c r="N285" t="inlineStr"/>
      <c r="O285" t="inlineStr"/>
      <c r="P285" t="inlineStr"/>
      <c r="Q285" t="inlineStr"/>
      <c r="R285" t="n">
        <v>2</v>
      </c>
      <c r="S285">
        <f>IF(Q285="","",MAX(Q285-R285,0))</f>
        <v/>
      </c>
      <c r="T285" s="3">
        <f>IF(Q285="","",MIN(R285/Q285,1))</f>
        <v/>
      </c>
      <c r="U285" t="inlineStr">
        <is>
          <t>Judy Hopps; Nick Wilde; Finnick</t>
        </is>
      </c>
      <c r="V285" t="inlineStr"/>
      <c r="W285" t="inlineStr">
        <is>
          <t>evidenced</t>
        </is>
      </c>
      <c r="X285" t="inlineStr">
        <is>
          <t>Low</t>
        </is>
      </c>
      <c r="Y285" t="inlineStr">
        <is>
          <t>https://disneypinsblog.com/new-disney-pins-february-2026-week-4/</t>
        </is>
      </c>
      <c r="Z285" t="inlineStr">
        <is>
          <t>secondary</t>
        </is>
      </c>
      <c r="AA285" t="inlineStr">
        <is>
          <t>https://wdwnt.com/2026/02/disney-world-pin-tuesday-zootopia-10th-anniversary-muppets-disney-park-day/</t>
        </is>
      </c>
      <c r="AB285" t="n">
        <v>2</v>
      </c>
      <c r="AC285" t="inlineStr"/>
      <c r="AD285" t="inlineStr"/>
      <c r="AE285" t="inlineStr"/>
      <c r="AF285" t="inlineStr"/>
      <c r="AG285" t="inlineStr">
        <is>
          <t>wdw/2026/zootopia-10th-anniversary</t>
        </is>
      </c>
    </row>
    <row r="286">
      <c r="A286" t="inlineStr">
        <is>
          <t>PHS-0285</t>
        </is>
      </c>
      <c r="B286" t="inlineStr">
        <is>
          <t>Spring Break 2026 Pin</t>
        </is>
      </c>
      <c r="C286" t="inlineStr">
        <is>
          <t>Walt Disney World</t>
        </is>
      </c>
      <c r="D286" t="inlineStr"/>
      <c r="E286" t="inlineStr">
        <is>
          <t>2026-03</t>
        </is>
      </c>
      <c r="F286" t="n">
        <v>2026</v>
      </c>
      <c r="G286" t="inlineStr"/>
      <c r="H286" t="inlineStr"/>
      <c r="I286" t="inlineStr"/>
      <c r="J286" t="inlineStr"/>
      <c r="K286" t="inlineStr"/>
      <c r="L286" t="inlineStr">
        <is>
          <t>limited edition</t>
        </is>
      </c>
      <c r="M286" t="n">
        <v>1500</v>
      </c>
      <c r="N286" t="n">
        <v>24.99</v>
      </c>
      <c r="O286" t="inlineStr">
        <is>
          <t>USD</t>
        </is>
      </c>
      <c r="P286" t="inlineStr"/>
      <c r="Q286" t="n">
        <v>1</v>
      </c>
      <c r="R286" t="n">
        <v>1</v>
      </c>
      <c r="S286">
        <f>IF(Q286="","",MAX(Q286-R286,0))</f>
        <v/>
      </c>
      <c r="T286" s="3">
        <f>IF(Q286="","",MIN(R286/Q286,1))</f>
        <v/>
      </c>
      <c r="U286" t="inlineStr">
        <is>
          <t>Spring Break pin</t>
        </is>
      </c>
      <c r="V286" t="inlineStr"/>
      <c r="W286" t="inlineStr">
        <is>
          <t>evidenced</t>
        </is>
      </c>
      <c r="X286" t="inlineStr">
        <is>
          <t>Low</t>
        </is>
      </c>
      <c r="Y286" t="inlineStr">
        <is>
          <t>https://wdwnt.com/2026/03/disney-world-pin-tuesday-spring-break-enchanted-doors-a-2-z-series-doctors-day/</t>
        </is>
      </c>
      <c r="Z286" t="inlineStr">
        <is>
          <t>secondary</t>
        </is>
      </c>
      <c r="AA286" t="inlineStr"/>
      <c r="AB286" t="n">
        <v>1</v>
      </c>
      <c r="AC286" t="inlineStr"/>
      <c r="AD286" t="inlineStr"/>
      <c r="AE286" t="inlineStr"/>
      <c r="AF286" t="inlineStr"/>
      <c r="AG286" t="inlineStr">
        <is>
          <t>wdw/2026/spring-break-2026-le</t>
        </is>
      </c>
    </row>
    <row r="287">
      <c r="A287" t="inlineStr">
        <is>
          <t>PHS-0286</t>
        </is>
      </c>
      <c r="B287" t="inlineStr">
        <is>
          <t>Disney Artist Collection by Maria Stuckey and Kate Dykstra - Attraction Animals</t>
        </is>
      </c>
      <c r="C287" t="inlineStr">
        <is>
          <t>Walt Disney World</t>
        </is>
      </c>
      <c r="D287" t="inlineStr"/>
      <c r="E287" t="inlineStr">
        <is>
          <t>2026-03-10</t>
        </is>
      </c>
      <c r="F287" t="n">
        <v>2026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5</v>
      </c>
      <c r="S287">
        <f>IF(Q287="","",MAX(Q287-R287,0))</f>
        <v/>
      </c>
      <c r="T287" s="3">
        <f>IF(Q287="","",MIN(R287/Q287,1))</f>
        <v/>
      </c>
      <c r="U287" t="inlineStr">
        <is>
          <t>Caterpillar; Cheshire Cat; Dumbo the Flying Elephant pin; Prince Charming Regal Carrousel pin; Ratatouille pin; Walt Disney World Jumbo Pin</t>
        </is>
      </c>
      <c r="V287" t="inlineStr"/>
      <c r="W287" t="inlineStr">
        <is>
          <t>evidenced</t>
        </is>
      </c>
      <c r="X287" t="inlineStr">
        <is>
          <t>Low</t>
        </is>
      </c>
      <c r="Y287" t="inlineStr">
        <is>
          <t>https://disneypinsblog.com/blogs/news/new-disney-pins-march-2026-week-2</t>
        </is>
      </c>
      <c r="Z287" t="inlineStr">
        <is>
          <t>secondary</t>
        </is>
      </c>
      <c r="AA287" t="inlineStr">
        <is>
          <t>https://wdwnt.com/2026/03/disney-world-pin-tuesday-kate-maria-artist-collection-inspired-by-attraction-animals/</t>
        </is>
      </c>
      <c r="AB287" t="n">
        <v>3</v>
      </c>
      <c r="AC287" t="inlineStr"/>
      <c r="AD287" t="inlineStr"/>
      <c r="AE287" t="inlineStr"/>
      <c r="AF287" t="inlineStr"/>
      <c r="AG287" t="inlineStr">
        <is>
          <t>wdw/2026/disney-artist-collection-kate-maria-attraction-animals</t>
        </is>
      </c>
    </row>
    <row r="288">
      <c r="A288" t="inlineStr">
        <is>
          <t>PHS-0287</t>
        </is>
      </c>
      <c r="B288" t="inlineStr">
        <is>
          <t>Expedition Everest 20th Anniversary Pin</t>
        </is>
      </c>
      <c r="C288" t="inlineStr">
        <is>
          <t>Walt Disney World</t>
        </is>
      </c>
      <c r="D288" t="inlineStr"/>
      <c r="E288" t="inlineStr">
        <is>
          <t>2026-03-24</t>
        </is>
      </c>
      <c r="F288" t="n">
        <v>2026</v>
      </c>
      <c r="G288" t="inlineStr"/>
      <c r="H288" t="inlineStr"/>
      <c r="I288" t="inlineStr"/>
      <c r="J288" t="inlineStr"/>
      <c r="K288" t="inlineStr"/>
      <c r="L288" t="inlineStr">
        <is>
          <t>limited edition</t>
        </is>
      </c>
      <c r="M288" t="n">
        <v>2000</v>
      </c>
      <c r="N288" t="n">
        <v>24.99</v>
      </c>
      <c r="O288" t="inlineStr">
        <is>
          <t>USD</t>
        </is>
      </c>
      <c r="P288" t="inlineStr"/>
      <c r="Q288" t="n">
        <v>1</v>
      </c>
      <c r="R288" t="n">
        <v>1</v>
      </c>
      <c r="S288">
        <f>IF(Q288="","",MAX(Q288-R288,0))</f>
        <v/>
      </c>
      <c r="T288" s="3">
        <f>IF(Q288="","",MIN(R288/Q288,1))</f>
        <v/>
      </c>
      <c r="U288" t="inlineStr">
        <is>
          <t>Yeti</t>
        </is>
      </c>
      <c r="V288" t="inlineStr"/>
      <c r="W288" t="inlineStr">
        <is>
          <t>evidenced</t>
        </is>
      </c>
      <c r="X288" t="inlineStr">
        <is>
          <t>Low</t>
        </is>
      </c>
      <c r="Y288" t="inlineStr">
        <is>
          <t>https://disneypinsblog.com/new-disney-pins-march-2026-week-4/</t>
        </is>
      </c>
      <c r="Z288" t="inlineStr">
        <is>
          <t>secondary</t>
        </is>
      </c>
      <c r="AA288" t="inlineStr">
        <is>
          <t>https://wdwnt.com/2026/03/walt-disney-world-pin-tuesday-limited-edition-easter-expedition-everest/</t>
        </is>
      </c>
      <c r="AB288" t="n">
        <v>2</v>
      </c>
      <c r="AC288" t="inlineStr"/>
      <c r="AD288" t="inlineStr"/>
      <c r="AE288" t="inlineStr"/>
      <c r="AF288" t="inlineStr"/>
      <c r="AG288" t="inlineStr">
        <is>
          <t>wdw/2026/expedition-everest-20th-le</t>
        </is>
      </c>
    </row>
    <row r="289">
      <c r="A289" t="inlineStr">
        <is>
          <t>PHS-0288</t>
        </is>
      </c>
      <c r="B289" t="inlineStr">
        <is>
          <t>Happy Easter 2026 Pin</t>
        </is>
      </c>
      <c r="C289" t="inlineStr">
        <is>
          <t>Walt Disney World</t>
        </is>
      </c>
      <c r="D289" t="inlineStr"/>
      <c r="E289" t="inlineStr">
        <is>
          <t>2026-03-24</t>
        </is>
      </c>
      <c r="F289" t="n">
        <v>2026</v>
      </c>
      <c r="G289" t="inlineStr"/>
      <c r="H289" t="inlineStr"/>
      <c r="I289" t="inlineStr"/>
      <c r="J289" t="inlineStr"/>
      <c r="K289" t="inlineStr"/>
      <c r="L289" t="inlineStr">
        <is>
          <t>limited edition</t>
        </is>
      </c>
      <c r="M289" t="n">
        <v>2500</v>
      </c>
      <c r="N289" t="n">
        <v>24.99</v>
      </c>
      <c r="O289" t="inlineStr">
        <is>
          <t>USD</t>
        </is>
      </c>
      <c r="P289" t="inlineStr"/>
      <c r="Q289" t="n">
        <v>1</v>
      </c>
      <c r="R289" t="n">
        <v>1</v>
      </c>
      <c r="S289">
        <f>IF(Q289="","",MAX(Q289-R289,0))</f>
        <v/>
      </c>
      <c r="T289" s="3">
        <f>IF(Q289="","",MIN(R289/Q289,1))</f>
        <v/>
      </c>
      <c r="U289" t="inlineStr">
        <is>
          <t>Mickey Mouse; Minnie Mouse</t>
        </is>
      </c>
      <c r="V289" t="inlineStr"/>
      <c r="W289" t="inlineStr">
        <is>
          <t>evidenced</t>
        </is>
      </c>
      <c r="X289" t="inlineStr">
        <is>
          <t>Low</t>
        </is>
      </c>
      <c r="Y289" t="inlineStr">
        <is>
          <t>https://disneypinsblog.com/new-disney-pins-march-2026-week-4/</t>
        </is>
      </c>
      <c r="Z289" t="inlineStr">
        <is>
          <t>secondary</t>
        </is>
      </c>
      <c r="AA289" t="inlineStr">
        <is>
          <t>https://wdwnt.com/2026/03/walt-disney-world-pin-tuesday-limited-edition-easter-expedition-everest/</t>
        </is>
      </c>
      <c r="AB289" t="n">
        <v>2</v>
      </c>
      <c r="AC289" t="inlineStr"/>
      <c r="AD289" t="inlineStr"/>
      <c r="AE289" t="inlineStr"/>
      <c r="AF289" t="inlineStr"/>
      <c r="AG289" t="inlineStr">
        <is>
          <t>wdw/2026/happy-easter-2026-le</t>
        </is>
      </c>
    </row>
    <row r="290">
      <c r="A290" t="inlineStr">
        <is>
          <t>PHS-0289</t>
        </is>
      </c>
      <c r="B290" t="inlineStr">
        <is>
          <t>A-2-Z I and R set</t>
        </is>
      </c>
      <c r="C290" t="inlineStr">
        <is>
          <t>Walt Disney World</t>
        </is>
      </c>
      <c r="D290" t="inlineStr"/>
      <c r="E290" t="inlineStr">
        <is>
          <t>2026-05-19</t>
        </is>
      </c>
      <c r="F290" t="n">
        <v>2026</v>
      </c>
      <c r="G290" t="inlineStr">
        <is>
          <t>A-2-Z Series</t>
        </is>
      </c>
      <c r="H290" t="inlineStr"/>
      <c r="I290" t="inlineStr"/>
      <c r="J290" t="inlineStr"/>
      <c r="K290" t="inlineStr"/>
      <c r="L290" t="inlineStr"/>
      <c r="M290" t="n">
        <v>1250</v>
      </c>
      <c r="N290" t="n">
        <v>34.99</v>
      </c>
      <c r="O290" t="inlineStr"/>
      <c r="P290" t="inlineStr"/>
      <c r="Q290" t="n">
        <v>2</v>
      </c>
      <c r="R290" t="n">
        <v>2</v>
      </c>
      <c r="S290">
        <f>IF(Q290="","",MAX(Q290-R290,0))</f>
        <v/>
      </c>
      <c r="T290" s="3">
        <f>IF(Q290="","",MIN(R290/Q290,1))</f>
        <v/>
      </c>
      <c r="U290" t="inlineStr">
        <is>
          <t>Iago; Robin Hood</t>
        </is>
      </c>
      <c r="V290" t="inlineStr"/>
      <c r="W290" t="inlineStr">
        <is>
          <t>evidenced</t>
        </is>
      </c>
      <c r="X290" t="inlineStr">
        <is>
          <t>Low</t>
        </is>
      </c>
      <c r="Y290" t="inlineStr">
        <is>
          <t>https://wdwnt.com/2026/05/disney-world-pin-tuesday-sam-eagle-america-250th-anniversary-madam-mim-a-2-z-set/</t>
        </is>
      </c>
      <c r="Z290" t="inlineStr">
        <is>
          <t>secondary</t>
        </is>
      </c>
      <c r="AA290" t="inlineStr"/>
      <c r="AB290" t="n">
        <v>1</v>
      </c>
      <c r="AC290" t="inlineStr"/>
      <c r="AD290" t="inlineStr"/>
      <c r="AE290" t="inlineStr"/>
      <c r="AF290" t="inlineStr"/>
      <c r="AG290" t="inlineStr">
        <is>
          <t>wdw/2026/a-2-z-series/i-and-r</t>
        </is>
      </c>
    </row>
    <row r="291">
      <c r="A291" t="inlineStr">
        <is>
          <t>PHS-0290</t>
        </is>
      </c>
      <c r="B291" t="inlineStr">
        <is>
          <t>Sam Eagle U.S.A. 250th Anniversary Pin</t>
        </is>
      </c>
      <c r="C291" t="inlineStr">
        <is>
          <t>Walt Disney World</t>
        </is>
      </c>
      <c r="D291" t="inlineStr"/>
      <c r="E291" t="inlineStr">
        <is>
          <t>2026-05-19</t>
        </is>
      </c>
      <c r="F291" t="n">
        <v>2026</v>
      </c>
      <c r="G291" t="inlineStr"/>
      <c r="H291" t="inlineStr"/>
      <c r="I291" t="inlineStr"/>
      <c r="J291" t="inlineStr"/>
      <c r="K291" t="inlineStr"/>
      <c r="L291" t="inlineStr">
        <is>
          <t>limited release</t>
        </is>
      </c>
      <c r="M291" t="inlineStr"/>
      <c r="N291" t="n">
        <v>21.99</v>
      </c>
      <c r="O291" t="inlineStr">
        <is>
          <t>USD</t>
        </is>
      </c>
      <c r="P291" t="inlineStr"/>
      <c r="Q291" t="n">
        <v>1</v>
      </c>
      <c r="R291" t="n">
        <v>1</v>
      </c>
      <c r="S291">
        <f>IF(Q291="","",MAX(Q291-R291,0))</f>
        <v/>
      </c>
      <c r="T291" s="3">
        <f>IF(Q291="","",MIN(R291/Q291,1))</f>
        <v/>
      </c>
      <c r="U291" t="inlineStr">
        <is>
          <t>Sam Eagle</t>
        </is>
      </c>
      <c r="V291" t="inlineStr"/>
      <c r="W291" t="inlineStr">
        <is>
          <t>evidenced</t>
        </is>
      </c>
      <c r="X291" t="inlineStr">
        <is>
          <t>Low</t>
        </is>
      </c>
      <c r="Y291" t="inlineStr">
        <is>
          <t>https://wdwnt.com/2026/05/disney-world-pin-tuesday-sam-eagle-america-250th-anniversary-madam-mim-a-2-z-set/</t>
        </is>
      </c>
      <c r="Z291" t="inlineStr">
        <is>
          <t>secondary</t>
        </is>
      </c>
      <c r="AA291" t="inlineStr"/>
      <c r="AB291" t="n">
        <v>1</v>
      </c>
      <c r="AC291" t="inlineStr"/>
      <c r="AD291" t="inlineStr"/>
      <c r="AE291" t="inlineStr"/>
      <c r="AF291" t="inlineStr"/>
      <c r="AG291" t="inlineStr">
        <is>
          <t>wdw/2026/sam-eagle-usa-250th-lr</t>
        </is>
      </c>
    </row>
    <row r="292">
      <c r="A292" t="inlineStr">
        <is>
          <t>PHS-0291</t>
        </is>
      </c>
      <c r="B292" t="inlineStr">
        <is>
          <t>Disney Daring Detectives (WDW park releases)</t>
        </is>
      </c>
      <c r="C292" t="inlineStr">
        <is>
          <t>Walt Disney World</t>
        </is>
      </c>
      <c r="D292" t="inlineStr"/>
      <c r="E292" t="inlineStr">
        <is>
          <t>2026-06</t>
        </is>
      </c>
      <c r="F292" t="n">
        <v>2026</v>
      </c>
      <c r="G292" t="inlineStr"/>
      <c r="H292" t="inlineStr"/>
      <c r="I292" t="inlineStr">
        <is>
          <t>attraction-themed 2-pin sets on case-file card plus mini jumbos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</v>
      </c>
      <c r="S292">
        <f>IF(Q292="","",MAX(Q292-R292,0))</f>
        <v/>
      </c>
      <c r="T292" s="3">
        <f>IF(Q292="","",MIN(R292/Q292,1))</f>
        <v/>
      </c>
      <c r="U292" t="inlineStr">
        <is>
          <t>Chip; Dale; Dewey; Donald Duck; Huey; Louie</t>
        </is>
      </c>
      <c r="V292" t="inlineStr"/>
      <c r="W292" t="inlineStr">
        <is>
          <t>evidenced</t>
        </is>
      </c>
      <c r="X292" t="inlineStr">
        <is>
          <t>Low</t>
        </is>
      </c>
      <c r="Y292" t="inlineStr">
        <is>
          <t>https://disneypinsblog.com/new-disney-pins-june-2026-week-1/</t>
        </is>
      </c>
      <c r="Z292" t="inlineStr">
        <is>
          <t>secondary</t>
        </is>
      </c>
      <c r="AA292" t="inlineStr">
        <is>
          <t>https://disneypinsblog.com/new-disney-pins-june-2026-week-3/</t>
        </is>
      </c>
      <c r="AB292" t="n">
        <v>2</v>
      </c>
      <c r="AC292" t="inlineStr"/>
      <c r="AD292" t="inlineStr"/>
      <c r="AE292" t="inlineStr"/>
      <c r="AF292" t="inlineStr"/>
      <c r="AG292" t="inlineStr">
        <is>
          <t>wdw/2026/disney-daring-detectives</t>
        </is>
      </c>
    </row>
    <row r="293">
      <c r="A293" t="inlineStr">
        <is>
          <t>PHS-0292</t>
        </is>
      </c>
      <c r="B293" t="inlineStr">
        <is>
          <t>Finding Dory 10th Anniversary Pin</t>
        </is>
      </c>
      <c r="C293" t="inlineStr">
        <is>
          <t>Walt Disney World</t>
        </is>
      </c>
      <c r="D293" t="inlineStr"/>
      <c r="E293" t="inlineStr">
        <is>
          <t>2026-06-02</t>
        </is>
      </c>
      <c r="F293" t="n">
        <v>2026</v>
      </c>
      <c r="G293" t="inlineStr"/>
      <c r="H293" t="inlineStr"/>
      <c r="I293" t="inlineStr"/>
      <c r="J293" t="inlineStr"/>
      <c r="K293" t="inlineStr"/>
      <c r="L293" t="inlineStr">
        <is>
          <t>limited edition</t>
        </is>
      </c>
      <c r="M293" t="n">
        <v>4000</v>
      </c>
      <c r="N293" t="n">
        <v>24.99</v>
      </c>
      <c r="O293" t="inlineStr">
        <is>
          <t>USD</t>
        </is>
      </c>
      <c r="P293" t="inlineStr"/>
      <c r="Q293" t="n">
        <v>1</v>
      </c>
      <c r="R293" t="n">
        <v>1</v>
      </c>
      <c r="S293">
        <f>IF(Q293="","",MAX(Q293-R293,0))</f>
        <v/>
      </c>
      <c r="T293" s="3">
        <f>IF(Q293="","",MIN(R293/Q293,1))</f>
        <v/>
      </c>
      <c r="U293" t="inlineStr">
        <is>
          <t>Dory; Fluke; Gerald; Hank; Rudder</t>
        </is>
      </c>
      <c r="V293" t="inlineStr"/>
      <c r="W293" t="inlineStr">
        <is>
          <t>evidenced</t>
        </is>
      </c>
      <c r="X293" t="inlineStr">
        <is>
          <t>Low</t>
        </is>
      </c>
      <c r="Y293" t="inlineStr">
        <is>
          <t>https://disneypinsblog.com/new-disney-pins-june-2026-week-1/</t>
        </is>
      </c>
      <c r="Z293" t="inlineStr">
        <is>
          <t>secondary</t>
        </is>
      </c>
      <c r="AA293" t="inlineStr">
        <is>
          <t>https://wdwnt.com/2026/06/walt-disney-world-pin-tuesday-four-limited-edition-pins-with-finding-dory-and-multiple-disney-daring-detectives/</t>
        </is>
      </c>
      <c r="AB293" t="n">
        <v>2</v>
      </c>
      <c r="AC293" t="inlineStr"/>
      <c r="AD293" t="inlineStr"/>
      <c r="AE293" t="inlineStr"/>
      <c r="AF293" t="inlineStr"/>
      <c r="AG293" t="inlineStr">
        <is>
          <t>wdw/2026/finding-dory-10th-le</t>
        </is>
      </c>
    </row>
    <row r="294">
      <c r="A294" t="inlineStr">
        <is>
          <t>PHS-0293</t>
        </is>
      </c>
      <c r="B294" t="inlineStr">
        <is>
          <t>The Hunchback of Notre Dame 30th Anniversary pins (parks)</t>
        </is>
      </c>
      <c r="C294" t="inlineStr">
        <is>
          <t>Walt Disney World</t>
        </is>
      </c>
      <c r="D294" t="inlineStr"/>
      <c r="E294" t="inlineStr">
        <is>
          <t>2026-06-16</t>
        </is>
      </c>
      <c r="F294" t="n">
        <v>2026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</v>
      </c>
      <c r="S294">
        <f>IF(Q294="","",MAX(Q294-R294,0))</f>
        <v/>
      </c>
      <c r="T294" s="3">
        <f>IF(Q294="","",MIN(R294/Q294,1))</f>
        <v/>
      </c>
      <c r="U294" t="inlineStr">
        <is>
          <t>Esmeralda; Frollo; Clopin; Quasimodo</t>
        </is>
      </c>
      <c r="V294" t="inlineStr"/>
      <c r="W294" t="inlineStr">
        <is>
          <t>evidenced</t>
        </is>
      </c>
      <c r="X294" t="inlineStr">
        <is>
          <t>Low</t>
        </is>
      </c>
      <c r="Y294" t="inlineStr">
        <is>
          <t>https://www.disneystore.eu/esmeralda-and-frollo-limited-release-pin-the-hunchback-of-notre-dame-30th-anniversary-438010914695.html</t>
        </is>
      </c>
      <c r="Z294" t="inlineStr">
        <is>
          <t>official</t>
        </is>
      </c>
      <c r="AA294" t="inlineStr">
        <is>
          <t>https://disneypinsblog.com/the-hunchback-of-notre-dame-30th-anniversary-pin-at-disney-store/</t>
        </is>
      </c>
      <c r="AB294" t="n">
        <v>3</v>
      </c>
      <c r="AC294" t="inlineStr"/>
      <c r="AD294" t="inlineStr"/>
      <c r="AE294" t="inlineStr"/>
      <c r="AF294" t="inlineStr"/>
      <c r="AG294" t="inlineStr">
        <is>
          <t>wdw/2026/hunchback-of-notre-dame-30th</t>
        </is>
      </c>
    </row>
    <row r="295">
      <c r="A295" t="inlineStr">
        <is>
          <t>PHS-0294</t>
        </is>
      </c>
      <c r="B295" t="inlineStr">
        <is>
          <t>250th Independence Day Pin</t>
        </is>
      </c>
      <c r="C295" t="inlineStr">
        <is>
          <t>Walt Disney World</t>
        </is>
      </c>
      <c r="D295" t="inlineStr"/>
      <c r="E295" t="inlineStr">
        <is>
          <t>2026-06-23</t>
        </is>
      </c>
      <c r="F295" t="n">
        <v>2026</v>
      </c>
      <c r="G295" t="inlineStr"/>
      <c r="H295" t="inlineStr"/>
      <c r="I295" t="inlineStr"/>
      <c r="J295" t="inlineStr"/>
      <c r="K295" t="inlineStr"/>
      <c r="L295" t="inlineStr">
        <is>
          <t>limited release</t>
        </is>
      </c>
      <c r="M295" t="inlineStr"/>
      <c r="N295" t="n">
        <v>21.99</v>
      </c>
      <c r="O295" t="inlineStr">
        <is>
          <t>USD</t>
        </is>
      </c>
      <c r="P295" t="inlineStr"/>
      <c r="Q295" t="n">
        <v>1</v>
      </c>
      <c r="R295" t="n">
        <v>1</v>
      </c>
      <c r="S295">
        <f>IF(Q295="","",MAX(Q295-R295,0))</f>
        <v/>
      </c>
      <c r="T295" s="3">
        <f>IF(Q295="","",MIN(R295/Q295,1))</f>
        <v/>
      </c>
      <c r="U295" t="inlineStr">
        <is>
          <t>250th Independence Day pin</t>
        </is>
      </c>
      <c r="V295" t="inlineStr"/>
      <c r="W295" t="inlineStr">
        <is>
          <t>evidenced</t>
        </is>
      </c>
      <c r="X295" t="inlineStr">
        <is>
          <t>Low</t>
        </is>
      </c>
      <c r="Y295" t="inlineStr">
        <is>
          <t>https://wdwnt.com/2026/06/disney-world-pin-tuesday-250th-independence-day-animal-kingdom-daring-detectives/</t>
        </is>
      </c>
      <c r="Z295" t="inlineStr">
        <is>
          <t>secondary</t>
        </is>
      </c>
      <c r="AA295" t="inlineStr"/>
      <c r="AB295" t="n">
        <v>1</v>
      </c>
      <c r="AC295" t="inlineStr"/>
      <c r="AD295" t="inlineStr"/>
      <c r="AE295" t="inlineStr"/>
      <c r="AF295" t="inlineStr"/>
      <c r="AG295" t="inlineStr">
        <is>
          <t>wdw/2026/250th-independence-day-lr</t>
        </is>
      </c>
    </row>
    <row r="296">
      <c r="A296" t="inlineStr">
        <is>
          <t>PHS-0295</t>
        </is>
      </c>
      <c r="B296" t="inlineStr">
        <is>
          <t>Walt Disney World 55th Anniversary pins</t>
        </is>
      </c>
      <c r="C296" t="inlineStr">
        <is>
          <t>Walt Disney World</t>
        </is>
      </c>
      <c r="D296" t="inlineStr"/>
      <c r="E296" t="inlineStr">
        <is>
          <t>2026-09</t>
        </is>
      </c>
      <c r="F296" t="n">
        <v>2026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3</v>
      </c>
      <c r="S296">
        <f>IF(Q296="","",MAX(Q296-R296,0))</f>
        <v/>
      </c>
      <c r="T296" s="3">
        <f>IF(Q296="","",MIN(R296/Q296,1))</f>
        <v/>
      </c>
      <c r="U296" t="inlineStr">
        <is>
          <t>Mickey Mouse; Walt Disney World 55th Anniversary Mini Jumbo Pin; Minnie Mouse</t>
        </is>
      </c>
      <c r="V296" t="inlineStr"/>
      <c r="W296" t="inlineStr">
        <is>
          <t>evidenced</t>
        </is>
      </c>
      <c r="X296" t="inlineStr">
        <is>
          <t>Medium</t>
        </is>
      </c>
      <c r="Y296" t="inlineStr">
        <is>
          <t>https://disneybymark.com/2026/09/55th-anniversary-pins-featuring-mickey-minnie-park-icons-arrive-at-walt-disney-world/</t>
        </is>
      </c>
      <c r="Z296" t="inlineStr">
        <is>
          <t>secondary</t>
        </is>
      </c>
      <c r="AA296" t="inlineStr">
        <is>
          <t>https://disneypinsblog.com/blogs/news/disneys-contemporary-resort-polynesian-village-resort-55th-anniversary-pins</t>
        </is>
      </c>
      <c r="AB296" t="n">
        <v>4</v>
      </c>
      <c r="AC296" t="inlineStr"/>
      <c r="AD296" t="inlineStr"/>
      <c r="AE296" t="inlineStr"/>
      <c r="AF296" t="inlineStr"/>
      <c r="AG296" t="inlineStr">
        <is>
          <t>wdw/2026/walt-disney-world-55th-anniversary</t>
        </is>
      </c>
    </row>
    <row r="297">
      <c r="A297" t="inlineStr">
        <is>
          <t>PHS-0296</t>
        </is>
      </c>
      <c r="B297" t="inlineStr">
        <is>
          <t>Windows of Attraction</t>
        </is>
      </c>
      <c r="C297" t="inlineStr">
        <is>
          <t>Windows Of Attraction</t>
        </is>
      </c>
      <c r="D297" t="inlineStr"/>
      <c r="E297" t="inlineStr">
        <is>
          <t>2026-01-06</t>
        </is>
      </c>
      <c r="F297" t="n">
        <v>2026</v>
      </c>
      <c r="G297" t="inlineStr">
        <is>
          <t>Windows of Attraction</t>
        </is>
      </c>
      <c r="H297" t="inlineStr"/>
      <c r="I297" t="inlineStr">
        <is>
          <t>monthly Pin of the Month, one window-shaped attraction pin per month</t>
        </is>
      </c>
      <c r="J297" t="inlineStr"/>
      <c r="K297" t="inlineStr"/>
      <c r="L297" t="inlineStr">
        <is>
          <t>limited edition</t>
        </is>
      </c>
      <c r="M297" t="n">
        <v>2500</v>
      </c>
      <c r="N297" t="n">
        <v>26.99</v>
      </c>
      <c r="O297" t="inlineStr">
        <is>
          <t>USD</t>
        </is>
      </c>
      <c r="P297" t="inlineStr"/>
      <c r="Q297" t="n">
        <v>12</v>
      </c>
      <c r="R297" t="n">
        <v>10</v>
      </c>
      <c r="S297">
        <f>IF(Q297="","",MAX(Q297-R297,0))</f>
        <v/>
      </c>
      <c r="T297" s="3">
        <f>IF(Q297="","",MIN(R297/Q297,1))</f>
        <v/>
      </c>
      <c r="U297" t="inlineStr">
        <is>
          <t>Zurg; Windows of Attraction: Country Bear Musical Jamboree; Hatbox Ghost; Figment; Kilimanjaro Safaris – Windows of Attraction; Seven Dwarfs Mine Train – Windows of Attraction; Winnie the Pooh; The Twilight Zone Tower of Terror – Windows of Attraction; Windows of Attraction: Enchanted Tiki Room; Walt Disney World Railroad – Windows of Attraction</t>
        </is>
      </c>
      <c r="V297" t="inlineStr"/>
      <c r="W297" t="inlineStr">
        <is>
          <t>evidenced (held)</t>
        </is>
      </c>
      <c r="X297" t="inlineStr">
        <is>
          <t>Low</t>
        </is>
      </c>
      <c r="Y297" t="inlineStr">
        <is>
          <t>https://disneyblog.com/news/walt-disney-world-reveals-october-2026-pin-releases/</t>
        </is>
      </c>
      <c r="Z297" t="inlineStr">
        <is>
          <t>secondary</t>
        </is>
      </c>
      <c r="AA297" t="inlineStr">
        <is>
          <t>https://disneypinsblog.com/disney-parks-2026-monthly-pin-collections/</t>
        </is>
      </c>
      <c r="AB297" t="n">
        <v>3</v>
      </c>
      <c r="AC297" t="inlineStr"/>
      <c r="AD297" t="inlineStr"/>
      <c r="AE297" t="inlineStr"/>
      <c r="AF297" t="inlineStr"/>
      <c r="AG297" t="inlineStr">
        <is>
          <t>windows-of-attraction/2026-wdw</t>
        </is>
      </c>
    </row>
  </sheetData>
  <dataValidations count="1">
    <dataValidation sqref="W2:W796" showDropDown="0" showInputMessage="0" showErrorMessage="0" allowBlank="1" type="list">
      <formula1>Lookups!$C$2:$C$8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>
      <c r="A1" s="2" t="inlineStr">
        <is>
          <t>set_id</t>
        </is>
      </c>
      <c r="B1" s="2" t="inlineStr">
        <is>
          <t>slot</t>
        </is>
      </c>
      <c r="C1" s="2" t="inlineStr">
        <is>
          <t>characters</t>
        </is>
      </c>
      <c r="D1" s="2" t="inlineStr">
        <is>
          <t>pin_name</t>
        </is>
      </c>
      <c r="E1" s="2" t="inlineStr">
        <is>
          <t>variant (chaser/glitter/...)</t>
        </is>
      </c>
      <c r="F1" s="2" t="inlineStr">
        <is>
          <t>edition_size</t>
        </is>
      </c>
      <c r="G1" s="2" t="inlineStr">
        <is>
          <t>in_catalogue</t>
        </is>
      </c>
      <c r="H1" s="2" t="inlineStr">
        <is>
          <t>pinhunt_id</t>
        </is>
      </c>
      <c r="I1" s="2" t="inlineStr">
        <is>
          <t>image_status</t>
        </is>
      </c>
      <c r="J1" s="2" t="inlineStr">
        <is>
          <t>status</t>
        </is>
      </c>
      <c r="K1" s="2" t="inlineStr">
        <is>
          <t>confidence</t>
        </is>
      </c>
      <c r="L1" s="2" t="inlineStr">
        <is>
          <t>research_key</t>
        </is>
      </c>
    </row>
    <row r="2">
      <c r="A2" t="inlineStr">
        <is>
          <t>PHS-0001</t>
        </is>
      </c>
      <c r="B2" t="n">
        <v>1</v>
      </c>
      <c r="C2" t="inlineStr">
        <is>
          <t>Aladdin</t>
        </is>
      </c>
      <c r="D2" t="inlineStr">
        <is>
          <t>Aladdin – Disney Animated Cuties Mystery Pin Blind Pack – 2-Pc.</t>
        </is>
      </c>
      <c r="E2" t="inlineStr"/>
      <c r="F2" t="inlineStr"/>
      <c r="G2" t="inlineStr">
        <is>
          <t>possible</t>
        </is>
      </c>
      <c r="H2" t="inlineStr">
        <is>
          <t>PHUK-00000333</t>
        </is>
      </c>
      <c r="I2" t="inlineStr">
        <is>
          <t>none</t>
        </is>
      </c>
      <c r="J2" t="inlineStr">
        <is>
          <t>candidate</t>
        </is>
      </c>
      <c r="K2" t="inlineStr">
        <is>
          <t>High</t>
        </is>
      </c>
      <c r="L2" t="inlineStr">
        <is>
          <t>animated-cuties/series-1/aladdin</t>
        </is>
      </c>
    </row>
    <row r="3">
      <c r="A3" t="inlineStr">
        <is>
          <t>PHS-0001</t>
        </is>
      </c>
      <c r="B3" t="n">
        <v>2</v>
      </c>
      <c r="C3" t="inlineStr">
        <is>
          <t>Alice</t>
        </is>
      </c>
      <c r="D3" t="inlineStr">
        <is>
          <t>Alice – Disney Animated Cuties Mystery Pin Blind Pack – 2-Pc.</t>
        </is>
      </c>
      <c r="E3" t="inlineStr"/>
      <c r="F3" t="inlineStr"/>
      <c r="G3" t="inlineStr">
        <is>
          <t>possible</t>
        </is>
      </c>
      <c r="H3" t="inlineStr">
        <is>
          <t>PHUK-00000331</t>
        </is>
      </c>
      <c r="I3" t="inlineStr">
        <is>
          <t>none</t>
        </is>
      </c>
      <c r="J3" t="inlineStr">
        <is>
          <t>candidate</t>
        </is>
      </c>
      <c r="K3" t="inlineStr">
        <is>
          <t>High</t>
        </is>
      </c>
      <c r="L3" t="inlineStr">
        <is>
          <t>animated-cuties/series-1/alice</t>
        </is>
      </c>
    </row>
    <row r="4">
      <c r="A4" t="inlineStr">
        <is>
          <t>PHS-0001</t>
        </is>
      </c>
      <c r="B4" t="n">
        <v>3</v>
      </c>
      <c r="C4" t="inlineStr">
        <is>
          <t>Esmeralda; Esmerelda</t>
        </is>
      </c>
      <c r="D4" t="inlineStr">
        <is>
          <t>Esmeralda &amp; Esmerelda – Disney Animated Cuties Mystery Pin Blind Pack – 2-Pc.</t>
        </is>
      </c>
      <c r="E4" t="inlineStr"/>
      <c r="F4" t="inlineStr"/>
      <c r="G4" t="inlineStr">
        <is>
          <t>possible</t>
        </is>
      </c>
      <c r="H4" t="inlineStr">
        <is>
          <t>PHUK-00000336</t>
        </is>
      </c>
      <c r="I4" t="inlineStr">
        <is>
          <t>none</t>
        </is>
      </c>
      <c r="J4" t="inlineStr">
        <is>
          <t>candidate</t>
        </is>
      </c>
      <c r="K4" t="inlineStr">
        <is>
          <t>High</t>
        </is>
      </c>
      <c r="L4" t="inlineStr">
        <is>
          <t>animated-cuties/series-1/esmeralda</t>
        </is>
      </c>
    </row>
    <row r="5">
      <c r="A5" t="inlineStr">
        <is>
          <t>PHS-0001</t>
        </is>
      </c>
      <c r="B5" t="n">
        <v>4</v>
      </c>
      <c r="C5" t="inlineStr">
        <is>
          <t>Jim Hawkins</t>
        </is>
      </c>
      <c r="D5" t="inlineStr">
        <is>
          <t>Jim Hawkins – Disney Animated Cuties Mystery Pin Blind Pack – 2-Pc.</t>
        </is>
      </c>
      <c r="E5" t="inlineStr"/>
      <c r="F5" t="inlineStr"/>
      <c r="G5" t="inlineStr">
        <is>
          <t>possible</t>
        </is>
      </c>
      <c r="H5" t="inlineStr">
        <is>
          <t>PHUK-00000337</t>
        </is>
      </c>
      <c r="I5" t="inlineStr">
        <is>
          <t>none</t>
        </is>
      </c>
      <c r="J5" t="inlineStr">
        <is>
          <t>candidate</t>
        </is>
      </c>
      <c r="K5" t="inlineStr">
        <is>
          <t>High</t>
        </is>
      </c>
      <c r="L5" t="inlineStr">
        <is>
          <t>animated-cuties/series-1/jim-hawkins</t>
        </is>
      </c>
    </row>
    <row r="6">
      <c r="A6" t="inlineStr">
        <is>
          <t>PHS-0001</t>
        </is>
      </c>
      <c r="B6" t="n">
        <v>5</v>
      </c>
      <c r="C6" t="inlineStr">
        <is>
          <t>Megara</t>
        </is>
      </c>
      <c r="D6" t="inlineStr">
        <is>
          <t>Megara – Disney Animated Cuties Mystery Pin Blind Pack – 2-Pc.</t>
        </is>
      </c>
      <c r="E6" t="inlineStr"/>
      <c r="F6" t="inlineStr"/>
      <c r="G6" t="inlineStr">
        <is>
          <t>possible</t>
        </is>
      </c>
      <c r="H6" t="inlineStr">
        <is>
          <t>PHUK-00000334</t>
        </is>
      </c>
      <c r="I6" t="inlineStr">
        <is>
          <t>none</t>
        </is>
      </c>
      <c r="J6" t="inlineStr">
        <is>
          <t>candidate</t>
        </is>
      </c>
      <c r="K6" t="inlineStr">
        <is>
          <t>High</t>
        </is>
      </c>
      <c r="L6" t="inlineStr">
        <is>
          <t>animated-cuties/series-1/megara-meg</t>
        </is>
      </c>
    </row>
    <row r="7">
      <c r="A7" t="inlineStr">
        <is>
          <t>PHS-0001</t>
        </is>
      </c>
      <c r="B7" t="n">
        <v>6</v>
      </c>
      <c r="C7" t="inlineStr">
        <is>
          <t>Peter Pan</t>
        </is>
      </c>
      <c r="D7" t="inlineStr">
        <is>
          <t>Peter Pan – Disney Animated Cuties Mystery Pin Blind Pack – 2-Pc.</t>
        </is>
      </c>
      <c r="E7" t="inlineStr"/>
      <c r="F7" t="inlineStr"/>
      <c r="G7" t="inlineStr">
        <is>
          <t>possible</t>
        </is>
      </c>
      <c r="H7" t="inlineStr">
        <is>
          <t>PHUK-00000335</t>
        </is>
      </c>
      <c r="I7" t="inlineStr">
        <is>
          <t>none</t>
        </is>
      </c>
      <c r="J7" t="inlineStr">
        <is>
          <t>candidate</t>
        </is>
      </c>
      <c r="K7" t="inlineStr">
        <is>
          <t>High</t>
        </is>
      </c>
      <c r="L7" t="inlineStr">
        <is>
          <t>animated-cuties/series-1/peter-pan</t>
        </is>
      </c>
    </row>
    <row r="8">
      <c r="A8" t="inlineStr">
        <is>
          <t>PHS-0001</t>
        </is>
      </c>
      <c r="B8" t="n">
        <v>7</v>
      </c>
      <c r="C8" t="inlineStr">
        <is>
          <t>Pinocchio</t>
        </is>
      </c>
      <c r="D8" t="inlineStr">
        <is>
          <t>Pinocchio – Disney Animated Cuties Mystery Pin Blind Pack – 2-Pc.</t>
        </is>
      </c>
      <c r="E8" t="inlineStr"/>
      <c r="F8" t="inlineStr"/>
      <c r="G8" t="inlineStr">
        <is>
          <t>possible</t>
        </is>
      </c>
      <c r="H8" t="inlineStr">
        <is>
          <t>PHUK-00000332</t>
        </is>
      </c>
      <c r="I8" t="inlineStr">
        <is>
          <t>none</t>
        </is>
      </c>
      <c r="J8" t="inlineStr">
        <is>
          <t>candidate</t>
        </is>
      </c>
      <c r="K8" t="inlineStr">
        <is>
          <t>High</t>
        </is>
      </c>
      <c r="L8" t="inlineStr">
        <is>
          <t>animated-cuties/series-1/pinocchio</t>
        </is>
      </c>
    </row>
    <row r="9">
      <c r="A9" t="inlineStr">
        <is>
          <t>PHS-0001</t>
        </is>
      </c>
      <c r="B9" t="n">
        <v>8</v>
      </c>
      <c r="C9" t="inlineStr">
        <is>
          <t>Tinker Bell</t>
        </is>
      </c>
      <c r="D9" t="inlineStr">
        <is>
          <t>Tinker Bell – Disney Animated Cuties Mystery Pin Blind Pack – 2-Pc.</t>
        </is>
      </c>
      <c r="E9" t="inlineStr"/>
      <c r="F9" t="inlineStr"/>
      <c r="G9" t="inlineStr">
        <is>
          <t>possible</t>
        </is>
      </c>
      <c r="H9" t="inlineStr">
        <is>
          <t>PHUK-00000338</t>
        </is>
      </c>
      <c r="I9" t="inlineStr">
        <is>
          <t>none</t>
        </is>
      </c>
      <c r="J9" t="inlineStr">
        <is>
          <t>candidate</t>
        </is>
      </c>
      <c r="K9" t="inlineStr">
        <is>
          <t>High</t>
        </is>
      </c>
      <c r="L9" t="inlineStr">
        <is>
          <t>animated-cuties/series-1/tinker-bell</t>
        </is>
      </c>
    </row>
    <row r="10">
      <c r="A10" t="inlineStr">
        <is>
          <t>PHS-0002</t>
        </is>
      </c>
      <c r="B10" t="n">
        <v>1</v>
      </c>
      <c r="C10" t="inlineStr">
        <is>
          <t>Ariel</t>
        </is>
      </c>
      <c r="D10" t="inlineStr">
        <is>
          <t>Ariel – Animated Cuties Series 2 Mystery Pin Set</t>
        </is>
      </c>
      <c r="E10" t="inlineStr"/>
      <c r="F10" t="inlineStr"/>
      <c r="G10" t="inlineStr">
        <is>
          <t>possible</t>
        </is>
      </c>
      <c r="H10" t="inlineStr"/>
      <c r="I10" t="inlineStr">
        <is>
          <t>none</t>
        </is>
      </c>
      <c r="J10" t="inlineStr">
        <is>
          <t>candidate</t>
        </is>
      </c>
      <c r="K10" t="inlineStr">
        <is>
          <t>Low</t>
        </is>
      </c>
      <c r="L10" t="inlineStr">
        <is>
          <t>animated-cuties/series-2/ariel</t>
        </is>
      </c>
    </row>
    <row r="11">
      <c r="A11" t="inlineStr">
        <is>
          <t>PHS-0002</t>
        </is>
      </c>
      <c r="B11" t="n">
        <v>2</v>
      </c>
      <c r="C11" t="inlineStr">
        <is>
          <t>Flynn Rider</t>
        </is>
      </c>
      <c r="D11" t="inlineStr">
        <is>
          <t>Flynn Rider – Animated Cuties Series 2 Mystery Pin Set</t>
        </is>
      </c>
      <c r="E11" t="inlineStr"/>
      <c r="F11" t="inlineStr"/>
      <c r="G11" t="inlineStr">
        <is>
          <t>possible</t>
        </is>
      </c>
      <c r="H11" t="inlineStr"/>
      <c r="I11" t="inlineStr">
        <is>
          <t>none</t>
        </is>
      </c>
      <c r="J11" t="inlineStr">
        <is>
          <t>candidate</t>
        </is>
      </c>
      <c r="K11" t="inlineStr">
        <is>
          <t>Low</t>
        </is>
      </c>
      <c r="L11" t="inlineStr">
        <is>
          <t>animated-cuties/series-2/flynn-rider</t>
        </is>
      </c>
    </row>
    <row r="12">
      <c r="A12" t="inlineStr">
        <is>
          <t>PHS-0002</t>
        </is>
      </c>
      <c r="B12" t="n">
        <v>3</v>
      </c>
      <c r="C12" t="inlineStr">
        <is>
          <t>Hercules</t>
        </is>
      </c>
      <c r="D12" t="inlineStr">
        <is>
          <t>Hercules – Animated Cuties Series 2 Mystery Pin Set</t>
        </is>
      </c>
      <c r="E12" t="inlineStr"/>
      <c r="F12" t="inlineStr"/>
      <c r="G12" t="inlineStr">
        <is>
          <t>possible</t>
        </is>
      </c>
      <c r="H12" t="inlineStr"/>
      <c r="I12" t="inlineStr">
        <is>
          <t>none</t>
        </is>
      </c>
      <c r="J12" t="inlineStr">
        <is>
          <t>candidate</t>
        </is>
      </c>
      <c r="K12" t="inlineStr">
        <is>
          <t>Low</t>
        </is>
      </c>
      <c r="L12" t="inlineStr">
        <is>
          <t>animated-cuties/series-2/hercules</t>
        </is>
      </c>
    </row>
    <row r="13">
      <c r="A13" t="inlineStr">
        <is>
          <t>PHS-0002</t>
        </is>
      </c>
      <c r="B13" t="n">
        <v>4</v>
      </c>
      <c r="C13" t="inlineStr">
        <is>
          <t>Kuzco</t>
        </is>
      </c>
      <c r="D13" t="inlineStr">
        <is>
          <t>Kuzco – Animated Cuties Series 2 Mystery Pin Set</t>
        </is>
      </c>
      <c r="E13" t="inlineStr"/>
      <c r="F13" t="inlineStr"/>
      <c r="G13" t="inlineStr">
        <is>
          <t>possible</t>
        </is>
      </c>
      <c r="H13" t="inlineStr"/>
      <c r="I13" t="inlineStr">
        <is>
          <t>none</t>
        </is>
      </c>
      <c r="J13" t="inlineStr">
        <is>
          <t>candidate</t>
        </is>
      </c>
      <c r="K13" t="inlineStr">
        <is>
          <t>Low</t>
        </is>
      </c>
      <c r="L13" t="inlineStr">
        <is>
          <t>animated-cuties/series-2/kuzco</t>
        </is>
      </c>
    </row>
    <row r="14">
      <c r="A14" t="inlineStr">
        <is>
          <t>PHS-0002</t>
        </is>
      </c>
      <c r="B14" t="n">
        <v>5</v>
      </c>
      <c r="C14" t="inlineStr">
        <is>
          <t>Li Shang</t>
        </is>
      </c>
      <c r="D14" t="inlineStr">
        <is>
          <t>Li Shang – Animated Cuties Series 2 Mystery Pin Set</t>
        </is>
      </c>
      <c r="E14" t="inlineStr"/>
      <c r="F14" t="inlineStr"/>
      <c r="G14" t="inlineStr">
        <is>
          <t>possible</t>
        </is>
      </c>
      <c r="H14" t="inlineStr"/>
      <c r="I14" t="inlineStr">
        <is>
          <t>none</t>
        </is>
      </c>
      <c r="J14" t="inlineStr">
        <is>
          <t>candidate</t>
        </is>
      </c>
      <c r="K14" t="inlineStr">
        <is>
          <t>Low</t>
        </is>
      </c>
      <c r="L14" t="inlineStr">
        <is>
          <t>animated-cuties/series-2/li-shang</t>
        </is>
      </c>
    </row>
    <row r="15">
      <c r="A15" t="inlineStr">
        <is>
          <t>PHS-0002</t>
        </is>
      </c>
      <c r="B15" t="n">
        <v>6</v>
      </c>
      <c r="C15" t="inlineStr">
        <is>
          <t>Maleficent</t>
        </is>
      </c>
      <c r="D15" t="inlineStr">
        <is>
          <t>Maleficent – Animated Cuties Series 2 Mystery Pin Set</t>
        </is>
      </c>
      <c r="E15" t="inlineStr"/>
      <c r="F15" t="inlineStr"/>
      <c r="G15" t="inlineStr">
        <is>
          <t>possible</t>
        </is>
      </c>
      <c r="H15" t="inlineStr"/>
      <c r="I15" t="inlineStr">
        <is>
          <t>none</t>
        </is>
      </c>
      <c r="J15" t="inlineStr">
        <is>
          <t>candidate</t>
        </is>
      </c>
      <c r="K15" t="inlineStr">
        <is>
          <t>Low</t>
        </is>
      </c>
      <c r="L15" t="inlineStr">
        <is>
          <t>animated-cuties/series-2/maleficent</t>
        </is>
      </c>
    </row>
    <row r="16">
      <c r="A16" t="inlineStr">
        <is>
          <t>PHS-0002</t>
        </is>
      </c>
      <c r="B16" t="n">
        <v>7</v>
      </c>
      <c r="C16" t="inlineStr">
        <is>
          <t>Sally</t>
        </is>
      </c>
      <c r="D16" t="inlineStr">
        <is>
          <t>Sally – Animated Cuties Series 2 Mystery Pin Set</t>
        </is>
      </c>
      <c r="E16" t="inlineStr"/>
      <c r="F16" t="inlineStr"/>
      <c r="G16" t="inlineStr">
        <is>
          <t>possible</t>
        </is>
      </c>
      <c r="H16" t="inlineStr"/>
      <c r="I16" t="inlineStr">
        <is>
          <t>none</t>
        </is>
      </c>
      <c r="J16" t="inlineStr">
        <is>
          <t>candidate</t>
        </is>
      </c>
      <c r="K16" t="inlineStr">
        <is>
          <t>Low</t>
        </is>
      </c>
      <c r="L16" t="inlineStr">
        <is>
          <t>animated-cuties/series-2/sally</t>
        </is>
      </c>
    </row>
    <row r="17">
      <c r="A17" t="inlineStr">
        <is>
          <t>PHS-0002</t>
        </is>
      </c>
      <c r="B17" t="n">
        <v>8</v>
      </c>
      <c r="C17" t="inlineStr">
        <is>
          <t>Vanellope</t>
        </is>
      </c>
      <c r="D17" t="inlineStr">
        <is>
          <t>Vanellope – Animated Cuties Series 2 Mystery Pin Set</t>
        </is>
      </c>
      <c r="E17" t="inlineStr"/>
      <c r="F17" t="inlineStr"/>
      <c r="G17" t="inlineStr">
        <is>
          <t>possible</t>
        </is>
      </c>
      <c r="H17" t="inlineStr"/>
      <c r="I17" t="inlineStr">
        <is>
          <t>none</t>
        </is>
      </c>
      <c r="J17" t="inlineStr">
        <is>
          <t>candidate</t>
        </is>
      </c>
      <c r="K17" t="inlineStr">
        <is>
          <t>Low</t>
        </is>
      </c>
      <c r="L17" t="inlineStr">
        <is>
          <t>animated-cuties/series-2/vanellope-von-schweetz</t>
        </is>
      </c>
    </row>
    <row r="18">
      <c r="A18" t="inlineStr">
        <is>
          <t>PHS-0003</t>
        </is>
      </c>
      <c r="B18" t="n">
        <v>1</v>
      </c>
      <c r="C18" t="inlineStr">
        <is>
          <t>Aladdin</t>
        </is>
      </c>
      <c r="D18" t="inlineStr"/>
      <c r="E18" t="inlineStr"/>
      <c r="F18" t="n">
        <v>3750</v>
      </c>
      <c r="G18" t="inlineStr">
        <is>
          <t>possible</t>
        </is>
      </c>
      <c r="H18" t="inlineStr"/>
      <c r="I18" t="inlineStr">
        <is>
          <t>none</t>
        </is>
      </c>
      <c r="J18" t="inlineStr">
        <is>
          <t>candidate</t>
        </is>
      </c>
      <c r="K18" t="inlineStr">
        <is>
          <t>Medium</t>
        </is>
      </c>
      <c r="L18" t="inlineStr">
        <is>
          <t>brush-of-magic/limited-edition/aladdin</t>
        </is>
      </c>
    </row>
    <row r="19">
      <c r="A19" t="inlineStr">
        <is>
          <t>PHS-0003</t>
        </is>
      </c>
      <c r="B19" t="n">
        <v>2</v>
      </c>
      <c r="C19" t="inlineStr">
        <is>
          <t>Ariel</t>
        </is>
      </c>
      <c r="D19" t="inlineStr">
        <is>
          <t>Ariel Pin - The Little Mermaid - Limited Edition</t>
        </is>
      </c>
      <c r="E19" t="inlineStr"/>
      <c r="F19" t="n">
        <v>3750</v>
      </c>
      <c r="G19" t="inlineStr">
        <is>
          <t>possible</t>
        </is>
      </c>
      <c r="H19" t="inlineStr"/>
      <c r="I19" t="inlineStr">
        <is>
          <t>none</t>
        </is>
      </c>
      <c r="J19" t="inlineStr">
        <is>
          <t>candidate</t>
        </is>
      </c>
      <c r="K19" t="inlineStr">
        <is>
          <t>Low</t>
        </is>
      </c>
      <c r="L19" t="inlineStr">
        <is>
          <t>brush-of-magic/limited-edition/ariel</t>
        </is>
      </c>
    </row>
    <row r="20">
      <c r="A20" t="inlineStr">
        <is>
          <t>PHS-0003</t>
        </is>
      </c>
      <c r="B20" t="n">
        <v>3</v>
      </c>
      <c r="C20" t="inlineStr">
        <is>
          <t>Bambi</t>
        </is>
      </c>
      <c r="D20" t="inlineStr"/>
      <c r="E20" t="inlineStr"/>
      <c r="F20" t="n">
        <v>3750</v>
      </c>
      <c r="G20" t="inlineStr">
        <is>
          <t>possible</t>
        </is>
      </c>
      <c r="H20" t="inlineStr"/>
      <c r="I20" t="inlineStr">
        <is>
          <t>none</t>
        </is>
      </c>
      <c r="J20" t="inlineStr">
        <is>
          <t>candidate</t>
        </is>
      </c>
      <c r="K20" t="inlineStr">
        <is>
          <t>Medium</t>
        </is>
      </c>
      <c r="L20" t="inlineStr">
        <is>
          <t>brush-of-magic/limited-edition/bambi</t>
        </is>
      </c>
    </row>
    <row r="21">
      <c r="A21" t="inlineStr">
        <is>
          <t>PHS-0003</t>
        </is>
      </c>
      <c r="B21" t="n">
        <v>4</v>
      </c>
      <c r="C21" t="inlineStr">
        <is>
          <t>Belle</t>
        </is>
      </c>
      <c r="D21" t="inlineStr"/>
      <c r="E21" t="inlineStr"/>
      <c r="F21" t="n">
        <v>3750</v>
      </c>
      <c r="G21" t="inlineStr">
        <is>
          <t>possible</t>
        </is>
      </c>
      <c r="H21" t="inlineStr"/>
      <c r="I21" t="inlineStr">
        <is>
          <t>none</t>
        </is>
      </c>
      <c r="J21" t="inlineStr">
        <is>
          <t>candidate</t>
        </is>
      </c>
      <c r="K21" t="inlineStr">
        <is>
          <t>Medium</t>
        </is>
      </c>
      <c r="L21" t="inlineStr">
        <is>
          <t>brush-of-magic/limited-edition/belle</t>
        </is>
      </c>
    </row>
    <row r="22">
      <c r="A22" t="inlineStr">
        <is>
          <t>PHS-0003</t>
        </is>
      </c>
      <c r="B22" t="n">
        <v>5</v>
      </c>
      <c r="C22" t="inlineStr">
        <is>
          <t>Captain Hook</t>
        </is>
      </c>
      <c r="D22" t="inlineStr">
        <is>
          <t>Captain Hook Pin - Peter Pan - Limited Edition</t>
        </is>
      </c>
      <c r="E22" t="inlineStr"/>
      <c r="F22" t="n">
        <v>3750</v>
      </c>
      <c r="G22" t="inlineStr">
        <is>
          <t>possible</t>
        </is>
      </c>
      <c r="H22" t="inlineStr"/>
      <c r="I22" t="inlineStr">
        <is>
          <t>none</t>
        </is>
      </c>
      <c r="J22" t="inlineStr">
        <is>
          <t>candidate</t>
        </is>
      </c>
      <c r="K22" t="inlineStr">
        <is>
          <t>Low</t>
        </is>
      </c>
      <c r="L22" t="inlineStr">
        <is>
          <t>brush-of-magic/limited-edition/captain-hook</t>
        </is>
      </c>
    </row>
    <row r="23">
      <c r="A23" t="inlineStr">
        <is>
          <t>PHS-0003</t>
        </is>
      </c>
      <c r="B23" t="n">
        <v>6</v>
      </c>
      <c r="C23" t="inlineStr">
        <is>
          <t>Cinderella</t>
        </is>
      </c>
      <c r="D23" t="inlineStr">
        <is>
          <t>Cinderella Pin - Brush of Magic - Limited Edition</t>
        </is>
      </c>
      <c r="E23" t="inlineStr"/>
      <c r="F23" t="n">
        <v>3750</v>
      </c>
      <c r="G23" t="inlineStr">
        <is>
          <t>possible</t>
        </is>
      </c>
      <c r="H23" t="inlineStr"/>
      <c r="I23" t="inlineStr">
        <is>
          <t>none</t>
        </is>
      </c>
      <c r="J23" t="inlineStr">
        <is>
          <t>candidate</t>
        </is>
      </c>
      <c r="K23" t="inlineStr">
        <is>
          <t>High</t>
        </is>
      </c>
      <c r="L23" t="inlineStr">
        <is>
          <t>brush-of-magic/limited-edition/cinderella</t>
        </is>
      </c>
    </row>
    <row r="24">
      <c r="A24" t="inlineStr">
        <is>
          <t>PHS-0003</t>
        </is>
      </c>
      <c r="B24" t="n">
        <v>7</v>
      </c>
      <c r="C24" t="inlineStr">
        <is>
          <t>Darkwing Duck</t>
        </is>
      </c>
      <c r="D24" t="inlineStr"/>
      <c r="E24" t="inlineStr"/>
      <c r="F24" t="n">
        <v>3750</v>
      </c>
      <c r="G24" t="inlineStr">
        <is>
          <t>possible</t>
        </is>
      </c>
      <c r="H24" t="inlineStr"/>
      <c r="I24" t="inlineStr">
        <is>
          <t>none</t>
        </is>
      </c>
      <c r="J24" t="inlineStr">
        <is>
          <t>candidate</t>
        </is>
      </c>
      <c r="K24" t="inlineStr">
        <is>
          <t>Medium</t>
        </is>
      </c>
      <c r="L24" t="inlineStr">
        <is>
          <t>brush-of-magic/limited-edition/darkwing-duck</t>
        </is>
      </c>
    </row>
    <row r="25">
      <c r="A25" t="inlineStr">
        <is>
          <t>PHS-0003</t>
        </is>
      </c>
      <c r="B25" t="n">
        <v>8</v>
      </c>
      <c r="C25" t="inlineStr">
        <is>
          <t>Donald Duck</t>
        </is>
      </c>
      <c r="D25" t="inlineStr">
        <is>
          <t>Donald Duck Pin - Brush of Magic - Limited Edition</t>
        </is>
      </c>
      <c r="E25" t="inlineStr"/>
      <c r="F25" t="n">
        <v>3750</v>
      </c>
      <c r="G25" t="inlineStr">
        <is>
          <t>possible</t>
        </is>
      </c>
      <c r="H25" t="inlineStr"/>
      <c r="I25" t="inlineStr">
        <is>
          <t>none</t>
        </is>
      </c>
      <c r="J25" t="inlineStr">
        <is>
          <t>candidate</t>
        </is>
      </c>
      <c r="K25" t="inlineStr">
        <is>
          <t>Medium</t>
        </is>
      </c>
      <c r="L25" t="inlineStr">
        <is>
          <t>brush-of-magic/limited-edition/donald-duck</t>
        </is>
      </c>
    </row>
    <row r="26">
      <c r="A26" t="inlineStr">
        <is>
          <t>PHS-0003</t>
        </is>
      </c>
      <c r="B26" t="n">
        <v>9</v>
      </c>
      <c r="C26" t="inlineStr">
        <is>
          <t>Dumbo</t>
        </is>
      </c>
      <c r="D26" t="inlineStr">
        <is>
          <t>Dumbo Limited Edition Pin, Brush of Magic</t>
        </is>
      </c>
      <c r="E26" t="inlineStr"/>
      <c r="F26" t="n">
        <v>3750</v>
      </c>
      <c r="G26" t="inlineStr">
        <is>
          <t>possible</t>
        </is>
      </c>
      <c r="H26" t="inlineStr"/>
      <c r="I26" t="inlineStr">
        <is>
          <t>none</t>
        </is>
      </c>
      <c r="J26" t="inlineStr">
        <is>
          <t>candidate</t>
        </is>
      </c>
      <c r="K26" t="inlineStr">
        <is>
          <t>High</t>
        </is>
      </c>
      <c r="L26" t="inlineStr">
        <is>
          <t>brush-of-magic/limited-edition/dumbo</t>
        </is>
      </c>
    </row>
    <row r="27">
      <c r="A27" t="inlineStr">
        <is>
          <t>PHS-0003</t>
        </is>
      </c>
      <c r="B27" t="n">
        <v>10</v>
      </c>
      <c r="C27" t="inlineStr">
        <is>
          <t>Gadget Hackwrench</t>
        </is>
      </c>
      <c r="D27" t="inlineStr">
        <is>
          <t>Gadget Pin - Chip 'n Dale's Rescue Rangers - Brush of Magic - Limited Edition</t>
        </is>
      </c>
      <c r="E27" t="inlineStr"/>
      <c r="F27" t="n">
        <v>3750</v>
      </c>
      <c r="G27" t="inlineStr">
        <is>
          <t>possible</t>
        </is>
      </c>
      <c r="H27" t="inlineStr"/>
      <c r="I27" t="inlineStr">
        <is>
          <t>none</t>
        </is>
      </c>
      <c r="J27" t="inlineStr">
        <is>
          <t>candidate</t>
        </is>
      </c>
      <c r="K27" t="inlineStr">
        <is>
          <t>Medium</t>
        </is>
      </c>
      <c r="L27" t="inlineStr">
        <is>
          <t>brush-of-magic/limited-edition/gadget-hackwrench</t>
        </is>
      </c>
    </row>
    <row r="28">
      <c r="A28" t="inlineStr">
        <is>
          <t>PHS-0003</t>
        </is>
      </c>
      <c r="B28" t="n">
        <v>11</v>
      </c>
      <c r="C28" t="inlineStr">
        <is>
          <t>Genie</t>
        </is>
      </c>
      <c r="D28" t="inlineStr">
        <is>
          <t>Genie Pin - Aladdin - Brush of Magic - Limited Edition</t>
        </is>
      </c>
      <c r="E28" t="inlineStr"/>
      <c r="F28" t="n">
        <v>3750</v>
      </c>
      <c r="G28" t="inlineStr">
        <is>
          <t>possible</t>
        </is>
      </c>
      <c r="H28" t="inlineStr"/>
      <c r="I28" t="inlineStr">
        <is>
          <t>none</t>
        </is>
      </c>
      <c r="J28" t="inlineStr">
        <is>
          <t>candidate</t>
        </is>
      </c>
      <c r="K28" t="inlineStr">
        <is>
          <t>Medium</t>
        </is>
      </c>
      <c r="L28" t="inlineStr">
        <is>
          <t>brush-of-magic/limited-edition/genie</t>
        </is>
      </c>
    </row>
    <row r="29">
      <c r="A29" t="inlineStr">
        <is>
          <t>PHS-0003</t>
        </is>
      </c>
      <c r="B29" t="n">
        <v>12</v>
      </c>
      <c r="C29" t="inlineStr">
        <is>
          <t>Grumpy</t>
        </is>
      </c>
      <c r="D29" t="inlineStr"/>
      <c r="E29" t="inlineStr"/>
      <c r="F29" t="n">
        <v>3750</v>
      </c>
      <c r="G29" t="inlineStr">
        <is>
          <t>possible</t>
        </is>
      </c>
      <c r="H29" t="inlineStr"/>
      <c r="I29" t="inlineStr">
        <is>
          <t>none</t>
        </is>
      </c>
      <c r="J29" t="inlineStr">
        <is>
          <t>candidate</t>
        </is>
      </c>
      <c r="K29" t="inlineStr">
        <is>
          <t>Medium</t>
        </is>
      </c>
      <c r="L29" t="inlineStr">
        <is>
          <t>brush-of-magic/limited-edition/grumpy</t>
        </is>
      </c>
    </row>
    <row r="30">
      <c r="A30" t="inlineStr">
        <is>
          <t>PHS-0003</t>
        </is>
      </c>
      <c r="B30" t="n">
        <v>13</v>
      </c>
      <c r="C30" t="inlineStr">
        <is>
          <t>Hades</t>
        </is>
      </c>
      <c r="D30" t="inlineStr">
        <is>
          <t>Hades Pin - Hercules - Brush of Magic - Limited Edition</t>
        </is>
      </c>
      <c r="E30" t="inlineStr"/>
      <c r="F30" t="n">
        <v>3750</v>
      </c>
      <c r="G30" t="inlineStr">
        <is>
          <t>possible</t>
        </is>
      </c>
      <c r="H30" t="inlineStr"/>
      <c r="I30" t="inlineStr">
        <is>
          <t>none</t>
        </is>
      </c>
      <c r="J30" t="inlineStr">
        <is>
          <t>candidate</t>
        </is>
      </c>
      <c r="K30" t="inlineStr">
        <is>
          <t>Medium</t>
        </is>
      </c>
      <c r="L30" t="inlineStr">
        <is>
          <t>brush-of-magic/limited-edition/hades</t>
        </is>
      </c>
    </row>
    <row r="31">
      <c r="A31" t="inlineStr">
        <is>
          <t>PHS-0003</t>
        </is>
      </c>
      <c r="B31" t="n">
        <v>14</v>
      </c>
      <c r="C31" t="inlineStr">
        <is>
          <t>Hercules</t>
        </is>
      </c>
      <c r="D31" t="inlineStr">
        <is>
          <t>US: Hercules Pin - Brush of Magic - Limited Edition | Asia: Hercules Limited Edition Pin, Brush of Magic</t>
        </is>
      </c>
      <c r="E31" t="inlineStr"/>
      <c r="F31" t="n">
        <v>3750</v>
      </c>
      <c r="G31" t="inlineStr">
        <is>
          <t>possible</t>
        </is>
      </c>
      <c r="H31" t="inlineStr"/>
      <c r="I31" t="inlineStr">
        <is>
          <t>none</t>
        </is>
      </c>
      <c r="J31" t="inlineStr">
        <is>
          <t>candidate</t>
        </is>
      </c>
      <c r="K31" t="inlineStr">
        <is>
          <t>High</t>
        </is>
      </c>
      <c r="L31" t="inlineStr">
        <is>
          <t>brush-of-magic/limited-edition/hercules</t>
        </is>
      </c>
    </row>
    <row r="32">
      <c r="A32" t="inlineStr">
        <is>
          <t>PHS-0003</t>
        </is>
      </c>
      <c r="B32" t="n">
        <v>15</v>
      </c>
      <c r="C32" t="inlineStr">
        <is>
          <t>Maleficent</t>
        </is>
      </c>
      <c r="D32" t="inlineStr">
        <is>
          <t>Maleficent Limited Edition Pin, Sleeping Beauty, Brush of Magic</t>
        </is>
      </c>
      <c r="E32" t="inlineStr"/>
      <c r="F32" t="n">
        <v>2250</v>
      </c>
      <c r="G32" t="inlineStr">
        <is>
          <t>possible</t>
        </is>
      </c>
      <c r="H32" t="inlineStr"/>
      <c r="I32" t="inlineStr">
        <is>
          <t>none</t>
        </is>
      </c>
      <c r="J32" t="inlineStr">
        <is>
          <t>candidate</t>
        </is>
      </c>
      <c r="K32" t="inlineStr">
        <is>
          <t>High</t>
        </is>
      </c>
      <c r="L32" t="inlineStr">
        <is>
          <t>brush-of-magic/limited-edition/maleficent</t>
        </is>
      </c>
    </row>
    <row r="33">
      <c r="A33" t="inlineStr">
        <is>
          <t>PHS-0003</t>
        </is>
      </c>
      <c r="B33" t="n">
        <v>16</v>
      </c>
      <c r="C33" t="inlineStr">
        <is>
          <t>Marie</t>
        </is>
      </c>
      <c r="D33" t="inlineStr">
        <is>
          <t>Marie Limited Edition Pin, The Aristocats, Brush of Magic</t>
        </is>
      </c>
      <c r="E33" t="inlineStr"/>
      <c r="F33" t="n">
        <v>3750</v>
      </c>
      <c r="G33" t="inlineStr">
        <is>
          <t>possible</t>
        </is>
      </c>
      <c r="H33" t="inlineStr"/>
      <c r="I33" t="inlineStr">
        <is>
          <t>none</t>
        </is>
      </c>
      <c r="J33" t="inlineStr">
        <is>
          <t>candidate</t>
        </is>
      </c>
      <c r="K33" t="inlineStr">
        <is>
          <t>High</t>
        </is>
      </c>
      <c r="L33" t="inlineStr">
        <is>
          <t>brush-of-magic/limited-edition/marie</t>
        </is>
      </c>
    </row>
    <row r="34">
      <c r="A34" t="inlineStr">
        <is>
          <t>PHS-0003</t>
        </is>
      </c>
      <c r="B34" t="n">
        <v>17</v>
      </c>
      <c r="C34" t="inlineStr">
        <is>
          <t>Mickey Mouse</t>
        </is>
      </c>
      <c r="D34" t="inlineStr">
        <is>
          <t>Mickey Mouse on Animator's Desk Jumbo Pin - Brush of Magic - 2-Pc. - Limited Edition</t>
        </is>
      </c>
      <c r="E34" t="inlineStr"/>
      <c r="F34" t="n">
        <v>3749</v>
      </c>
      <c r="G34" t="inlineStr">
        <is>
          <t>possible</t>
        </is>
      </c>
      <c r="H34" t="inlineStr"/>
      <c r="I34" t="inlineStr">
        <is>
          <t>none</t>
        </is>
      </c>
      <c r="J34" t="inlineStr">
        <is>
          <t>candidate</t>
        </is>
      </c>
      <c r="K34" t="inlineStr">
        <is>
          <t>Medium</t>
        </is>
      </c>
      <c r="L34" t="inlineStr">
        <is>
          <t>brush-of-magic/limited-edition/mickey-animators-desk-jumbo</t>
        </is>
      </c>
    </row>
    <row r="35">
      <c r="A35" t="inlineStr">
        <is>
          <t>PHS-0003</t>
        </is>
      </c>
      <c r="B35" t="n">
        <v>18</v>
      </c>
      <c r="C35" t="inlineStr">
        <is>
          <t>Sorcerer Mickey</t>
        </is>
      </c>
      <c r="D35" t="inlineStr">
        <is>
          <t>Sorcerer Mickey Mouse Limited Edition Pin, Fantasia, Brush of Magic</t>
        </is>
      </c>
      <c r="E35" t="inlineStr"/>
      <c r="F35" t="n">
        <v>2250</v>
      </c>
      <c r="G35" t="inlineStr">
        <is>
          <t>possible</t>
        </is>
      </c>
      <c r="H35" t="inlineStr"/>
      <c r="I35" t="inlineStr">
        <is>
          <t>none</t>
        </is>
      </c>
      <c r="J35" t="inlineStr">
        <is>
          <t>candidate</t>
        </is>
      </c>
      <c r="K35" t="inlineStr">
        <is>
          <t>High</t>
        </is>
      </c>
      <c r="L35" t="inlineStr">
        <is>
          <t>brush-of-magic/limited-edition/mickey-mouse-sorcerer</t>
        </is>
      </c>
    </row>
    <row r="36">
      <c r="A36" t="inlineStr">
        <is>
          <t>PHS-0004</t>
        </is>
      </c>
      <c r="B36" t="n">
        <v>1</v>
      </c>
      <c r="C36" t="inlineStr">
        <is>
          <t>Cheshire Cat</t>
        </is>
      </c>
      <c r="D36" t="inlineStr">
        <is>
          <t>Cheshire Cat – US: Disney Brush of Magic Mystery Pin Blind Pack Series 1 - 2-Pc. - Limited Release | UK: Disney Brush of Magic Limited Release Mystery Pin Set</t>
        </is>
      </c>
      <c r="E36" t="inlineStr"/>
      <c r="F36" t="inlineStr"/>
      <c r="G36" t="inlineStr">
        <is>
          <t>possible</t>
        </is>
      </c>
      <c r="H36" t="inlineStr">
        <is>
          <t>PHUK-00000634</t>
        </is>
      </c>
      <c r="I36" t="inlineStr">
        <is>
          <t>none</t>
        </is>
      </c>
      <c r="J36" t="inlineStr">
        <is>
          <t>candidate</t>
        </is>
      </c>
      <c r="K36" t="inlineStr">
        <is>
          <t>High</t>
        </is>
      </c>
      <c r="L36" t="inlineStr">
        <is>
          <t>brush-of-magic/mystery-series-1/cheshire-cat</t>
        </is>
      </c>
    </row>
    <row r="37">
      <c r="A37" t="inlineStr">
        <is>
          <t>PHS-0004</t>
        </is>
      </c>
      <c r="B37" t="n">
        <v>2</v>
      </c>
      <c r="C37" t="inlineStr">
        <is>
          <t>Dopey</t>
        </is>
      </c>
      <c r="D37" t="inlineStr">
        <is>
          <t>Dopey – US: Disney Brush of Magic Mystery Pin Blind Pack Series 1 - 2-Pc. - Limited Release | UK: Disney Brush of Magic Limited Release Mystery Pin Set</t>
        </is>
      </c>
      <c r="E37" t="inlineStr"/>
      <c r="F37" t="inlineStr"/>
      <c r="G37" t="inlineStr">
        <is>
          <t>possible</t>
        </is>
      </c>
      <c r="H37" t="inlineStr">
        <is>
          <t>PHUK-00000625</t>
        </is>
      </c>
      <c r="I37" t="inlineStr">
        <is>
          <t>none</t>
        </is>
      </c>
      <c r="J37" t="inlineStr">
        <is>
          <t>candidate</t>
        </is>
      </c>
      <c r="K37" t="inlineStr">
        <is>
          <t>High</t>
        </is>
      </c>
      <c r="L37" t="inlineStr">
        <is>
          <t>brush-of-magic/mystery-series-1/dopey</t>
        </is>
      </c>
    </row>
    <row r="38">
      <c r="A38" t="inlineStr">
        <is>
          <t>PHS-0004</t>
        </is>
      </c>
      <c r="B38" t="n">
        <v>3</v>
      </c>
      <c r="C38" t="inlineStr">
        <is>
          <t>Goofy</t>
        </is>
      </c>
      <c r="D38" t="inlineStr">
        <is>
          <t>Goofy – US: Disney Brush of Magic Mystery Pin Blind Pack Series 1 - 2-Pc. - Limited Release | UK: Disney Brush of Magic Limited Release Mystery Pin Set</t>
        </is>
      </c>
      <c r="E38" t="inlineStr"/>
      <c r="F38" t="inlineStr"/>
      <c r="G38" t="inlineStr">
        <is>
          <t>possible</t>
        </is>
      </c>
      <c r="H38" t="inlineStr">
        <is>
          <t>PHUK-00000633</t>
        </is>
      </c>
      <c r="I38" t="inlineStr">
        <is>
          <t>none</t>
        </is>
      </c>
      <c r="J38" t="inlineStr">
        <is>
          <t>candidate</t>
        </is>
      </c>
      <c r="K38" t="inlineStr">
        <is>
          <t>High</t>
        </is>
      </c>
      <c r="L38" t="inlineStr">
        <is>
          <t>brush-of-magic/mystery-series-1/goofy</t>
        </is>
      </c>
    </row>
    <row r="39">
      <c r="A39" t="inlineStr">
        <is>
          <t>PHS-0004</t>
        </is>
      </c>
      <c r="B39" t="n">
        <v>4</v>
      </c>
      <c r="C39" t="inlineStr">
        <is>
          <t>Oswald</t>
        </is>
      </c>
      <c r="D39" t="inlineStr">
        <is>
          <t>Disney Brush of Magic Mystery Pin Set Series 1 - Oswald the Lucky Rabbit</t>
        </is>
      </c>
      <c r="E39" t="inlineStr"/>
      <c r="F39" t="inlineStr"/>
      <c r="G39" t="inlineStr">
        <is>
          <t>possible</t>
        </is>
      </c>
      <c r="H39" t="inlineStr">
        <is>
          <t>PHUK-00000631</t>
        </is>
      </c>
      <c r="I39" t="inlineStr">
        <is>
          <t>none</t>
        </is>
      </c>
      <c r="J39" t="inlineStr">
        <is>
          <t>candidate</t>
        </is>
      </c>
      <c r="K39" t="inlineStr">
        <is>
          <t>High</t>
        </is>
      </c>
      <c r="L39" t="inlineStr">
        <is>
          <t>brush-of-magic/mystery-series-1/oswald-the-lucky-rabbit</t>
        </is>
      </c>
    </row>
    <row r="40">
      <c r="A40" t="inlineStr">
        <is>
          <t>PHS-0004</t>
        </is>
      </c>
      <c r="B40" t="n">
        <v>5</v>
      </c>
      <c r="C40" t="inlineStr">
        <is>
          <t>Peter Pan</t>
        </is>
      </c>
      <c r="D40" t="inlineStr">
        <is>
          <t>Peter Pan – US: Disney Brush of Magic Mystery Pin Blind Pack Series 1 - 2-Pc. - Limited Release | UK: Disney Brush of Magic Limited Release Mystery Pin Set</t>
        </is>
      </c>
      <c r="E40" t="inlineStr"/>
      <c r="F40" t="inlineStr"/>
      <c r="G40" t="inlineStr">
        <is>
          <t>possible</t>
        </is>
      </c>
      <c r="H40" t="inlineStr">
        <is>
          <t>PHUK-00000627</t>
        </is>
      </c>
      <c r="I40" t="inlineStr">
        <is>
          <t>none</t>
        </is>
      </c>
      <c r="J40" t="inlineStr">
        <is>
          <t>candidate</t>
        </is>
      </c>
      <c r="K40" t="inlineStr">
        <is>
          <t>High</t>
        </is>
      </c>
      <c r="L40" t="inlineStr">
        <is>
          <t>brush-of-magic/mystery-series-1/peter-pan</t>
        </is>
      </c>
    </row>
    <row r="41">
      <c r="A41" t="inlineStr">
        <is>
          <t>PHS-0004</t>
        </is>
      </c>
      <c r="B41" t="n">
        <v>6</v>
      </c>
      <c r="C41" t="inlineStr">
        <is>
          <t>Pluto</t>
        </is>
      </c>
      <c r="D41" t="inlineStr">
        <is>
          <t>Pluto – US: Disney Brush of Magic Mystery Pin Blind Pack Series 1 - 2-Pc. - Limited Release | UK: Disney Brush of Magic Limited Release Mystery Pin Set</t>
        </is>
      </c>
      <c r="E41" t="inlineStr"/>
      <c r="F41" t="inlineStr"/>
      <c r="G41" t="inlineStr">
        <is>
          <t>possible</t>
        </is>
      </c>
      <c r="H41" t="inlineStr">
        <is>
          <t>PHUK-00000626</t>
        </is>
      </c>
      <c r="I41" t="inlineStr">
        <is>
          <t>none</t>
        </is>
      </c>
      <c r="J41" t="inlineStr">
        <is>
          <t>candidate</t>
        </is>
      </c>
      <c r="K41" t="inlineStr">
        <is>
          <t>High</t>
        </is>
      </c>
      <c r="L41" t="inlineStr">
        <is>
          <t>brush-of-magic/mystery-series-1/pluto</t>
        </is>
      </c>
    </row>
    <row r="42">
      <c r="A42" t="inlineStr">
        <is>
          <t>PHS-0004</t>
        </is>
      </c>
      <c r="B42" t="n">
        <v>7</v>
      </c>
      <c r="C42" t="inlineStr">
        <is>
          <t>Stitch</t>
        </is>
      </c>
      <c r="D42" t="inlineStr">
        <is>
          <t>Stitch – US: Disney Brush of Magic Mystery Pin Blind Pack Series 1 - 2-Pc. - Limited Release | UK: Disney Brush of Magic Limited Release Mystery Pin Set</t>
        </is>
      </c>
      <c r="E42" t="inlineStr"/>
      <c r="F42" t="inlineStr"/>
      <c r="G42" t="inlineStr">
        <is>
          <t>possible</t>
        </is>
      </c>
      <c r="H42" t="inlineStr">
        <is>
          <t>PHUK-00000632</t>
        </is>
      </c>
      <c r="I42" t="inlineStr">
        <is>
          <t>none</t>
        </is>
      </c>
      <c r="J42" t="inlineStr">
        <is>
          <t>candidate</t>
        </is>
      </c>
      <c r="K42" t="inlineStr">
        <is>
          <t>High</t>
        </is>
      </c>
      <c r="L42" t="inlineStr">
        <is>
          <t>brush-of-magic/mystery-series-1/stitch</t>
        </is>
      </c>
    </row>
    <row r="43">
      <c r="A43" t="inlineStr">
        <is>
          <t>PHS-0004</t>
        </is>
      </c>
      <c r="B43" t="n">
        <v>8</v>
      </c>
      <c r="C43" t="inlineStr">
        <is>
          <t>Tod; Todd</t>
        </is>
      </c>
      <c r="D43" t="inlineStr">
        <is>
          <t>Tod</t>
        </is>
      </c>
      <c r="E43" t="inlineStr"/>
      <c r="F43" t="inlineStr"/>
      <c r="G43" t="inlineStr">
        <is>
          <t>possible</t>
        </is>
      </c>
      <c r="H43" t="inlineStr">
        <is>
          <t>PHUK-00000628</t>
        </is>
      </c>
      <c r="I43" t="inlineStr">
        <is>
          <t>none</t>
        </is>
      </c>
      <c r="J43" t="inlineStr">
        <is>
          <t>candidate</t>
        </is>
      </c>
      <c r="K43" t="inlineStr">
        <is>
          <t>High</t>
        </is>
      </c>
      <c r="L43" t="inlineStr">
        <is>
          <t>brush-of-magic/mystery-series-1/todd</t>
        </is>
      </c>
    </row>
    <row r="44">
      <c r="A44" t="inlineStr">
        <is>
          <t>PHS-0004</t>
        </is>
      </c>
      <c r="B44" t="n">
        <v>9</v>
      </c>
      <c r="C44" t="inlineStr">
        <is>
          <t>Ursula</t>
        </is>
      </c>
      <c r="D44" t="inlineStr">
        <is>
          <t>Ursula – US: Disney Brush of Magic Mystery Pin Blind Pack Series 1 - 2-Pc. - Limited Release | UK: Disney Brush of Magic Limited Release Mystery Pin Set</t>
        </is>
      </c>
      <c r="E44" t="inlineStr"/>
      <c r="F44" t="inlineStr"/>
      <c r="G44" t="inlineStr">
        <is>
          <t>possible</t>
        </is>
      </c>
      <c r="H44" t="inlineStr">
        <is>
          <t>PHUK-00000629</t>
        </is>
      </c>
      <c r="I44" t="inlineStr">
        <is>
          <t>none</t>
        </is>
      </c>
      <c r="J44" t="inlineStr">
        <is>
          <t>candidate</t>
        </is>
      </c>
      <c r="K44" t="inlineStr">
        <is>
          <t>High</t>
        </is>
      </c>
      <c r="L44" t="inlineStr">
        <is>
          <t>brush-of-magic/mystery-series-1/ursula</t>
        </is>
      </c>
    </row>
    <row r="45">
      <c r="A45" t="inlineStr">
        <is>
          <t>PHS-0004</t>
        </is>
      </c>
      <c r="B45" t="n">
        <v>10</v>
      </c>
      <c r="C45" t="inlineStr">
        <is>
          <t>Winnie; Winnie the Pooh</t>
        </is>
      </c>
      <c r="D45" t="inlineStr">
        <is>
          <t>Winnie &amp; Winnie the Pooh – US: Disney Brush of Magic Mystery Pin Blind Pack Series 1 - 2-Pc. - Limited Release | UK: Disney Brush of Magic Limited Release Mystery Pin Set</t>
        </is>
      </c>
      <c r="E45" t="inlineStr"/>
      <c r="F45" t="inlineStr"/>
      <c r="G45" t="inlineStr">
        <is>
          <t>possible</t>
        </is>
      </c>
      <c r="H45" t="inlineStr">
        <is>
          <t>PHUK-00000630</t>
        </is>
      </c>
      <c r="I45" t="inlineStr">
        <is>
          <t>none</t>
        </is>
      </c>
      <c r="J45" t="inlineStr">
        <is>
          <t>candidate</t>
        </is>
      </c>
      <c r="K45" t="inlineStr">
        <is>
          <t>High</t>
        </is>
      </c>
      <c r="L45" t="inlineStr">
        <is>
          <t>brush-of-magic/mystery-series-1/winnie-the-pooh</t>
        </is>
      </c>
    </row>
    <row r="46">
      <c r="A46" t="inlineStr">
        <is>
          <t>PHS-0005</t>
        </is>
      </c>
      <c r="B46" t="n">
        <v>1</v>
      </c>
      <c r="C46" t="inlineStr">
        <is>
          <t>Baloo</t>
        </is>
      </c>
      <c r="D46" t="inlineStr">
        <is>
          <t>Baloo – Disney Brush of Magic Mystery Pin Blind Pack Series 2 - 2-Pc. - Limited Release</t>
        </is>
      </c>
      <c r="E46" t="inlineStr"/>
      <c r="F46" t="inlineStr"/>
      <c r="G46" t="inlineStr">
        <is>
          <t>possible</t>
        </is>
      </c>
      <c r="H46" t="inlineStr"/>
      <c r="I46" t="inlineStr">
        <is>
          <t>none</t>
        </is>
      </c>
      <c r="J46" t="inlineStr">
        <is>
          <t>candidate</t>
        </is>
      </c>
      <c r="K46" t="inlineStr">
        <is>
          <t>Low</t>
        </is>
      </c>
      <c r="L46" t="inlineStr">
        <is>
          <t>brush-of-magic/mystery-series-2/baloo</t>
        </is>
      </c>
    </row>
    <row r="47">
      <c r="A47" t="inlineStr">
        <is>
          <t>PHS-0005</t>
        </is>
      </c>
      <c r="B47" t="n">
        <v>2</v>
      </c>
      <c r="C47" t="inlineStr">
        <is>
          <t>Chip; Dale</t>
        </is>
      </c>
      <c r="D47" t="inlineStr">
        <is>
          <t>Chip &amp; Dale – Disney Brush of Magic Mystery Pin Blind Pack Series 2 - 2-Pc. - Limited Release</t>
        </is>
      </c>
      <c r="E47" t="inlineStr"/>
      <c r="F47" t="inlineStr"/>
      <c r="G47" t="inlineStr">
        <is>
          <t>possible</t>
        </is>
      </c>
      <c r="H47" t="inlineStr"/>
      <c r="I47" t="inlineStr">
        <is>
          <t>none</t>
        </is>
      </c>
      <c r="J47" t="inlineStr">
        <is>
          <t>candidate</t>
        </is>
      </c>
      <c r="K47" t="inlineStr">
        <is>
          <t>Low</t>
        </is>
      </c>
      <c r="L47" t="inlineStr">
        <is>
          <t>brush-of-magic/mystery-series-2/chip-n-dale</t>
        </is>
      </c>
    </row>
    <row r="48">
      <c r="A48" t="inlineStr">
        <is>
          <t>PHS-0005</t>
        </is>
      </c>
      <c r="B48" t="n">
        <v>3</v>
      </c>
      <c r="C48" t="inlineStr">
        <is>
          <t>Jafar</t>
        </is>
      </c>
      <c r="D48" t="inlineStr">
        <is>
          <t>Jafar – Disney Brush of Magic Mystery Pin Blind Pack Series 2 - 2-Pc. - Limited Release</t>
        </is>
      </c>
      <c r="E48" t="inlineStr"/>
      <c r="F48" t="inlineStr"/>
      <c r="G48" t="inlineStr">
        <is>
          <t>possible</t>
        </is>
      </c>
      <c r="H48" t="inlineStr"/>
      <c r="I48" t="inlineStr">
        <is>
          <t>none</t>
        </is>
      </c>
      <c r="J48" t="inlineStr">
        <is>
          <t>candidate</t>
        </is>
      </c>
      <c r="K48" t="inlineStr">
        <is>
          <t>Low</t>
        </is>
      </c>
      <c r="L48" t="inlineStr">
        <is>
          <t>brush-of-magic/mystery-series-2/jafar</t>
        </is>
      </c>
    </row>
    <row r="49">
      <c r="A49" t="inlineStr">
        <is>
          <t>PHS-0005</t>
        </is>
      </c>
      <c r="B49" t="n">
        <v>4</v>
      </c>
      <c r="C49" t="inlineStr">
        <is>
          <t>Minnie Mouse</t>
        </is>
      </c>
      <c r="D49" t="inlineStr">
        <is>
          <t>Minnie Mouse – Disney Brush of Magic Mystery Pin Blind Pack Series 2 - 2-Pc. - Limited Release</t>
        </is>
      </c>
      <c r="E49" t="inlineStr"/>
      <c r="F49" t="inlineStr"/>
      <c r="G49" t="inlineStr">
        <is>
          <t>possible</t>
        </is>
      </c>
      <c r="H49" t="inlineStr"/>
      <c r="I49" t="inlineStr">
        <is>
          <t>none</t>
        </is>
      </c>
      <c r="J49" t="inlineStr">
        <is>
          <t>candidate</t>
        </is>
      </c>
      <c r="K49" t="inlineStr">
        <is>
          <t>Low</t>
        </is>
      </c>
      <c r="L49" t="inlineStr">
        <is>
          <t>brush-of-magic/mystery-series-2/minnie-mouse</t>
        </is>
      </c>
    </row>
    <row r="50">
      <c r="A50" t="inlineStr">
        <is>
          <t>PHS-0005</t>
        </is>
      </c>
      <c r="B50" t="n">
        <v>5</v>
      </c>
      <c r="C50" t="inlineStr">
        <is>
          <t>Pascal</t>
        </is>
      </c>
      <c r="D50" t="inlineStr">
        <is>
          <t>Pascal – Disney Brush of Magic Mystery Pin Blind Pack Series 2 - 2-Pc. - Limited Release</t>
        </is>
      </c>
      <c r="E50" t="inlineStr"/>
      <c r="F50" t="inlineStr"/>
      <c r="G50" t="inlineStr">
        <is>
          <t>possible</t>
        </is>
      </c>
      <c r="H50" t="inlineStr"/>
      <c r="I50" t="inlineStr">
        <is>
          <t>none</t>
        </is>
      </c>
      <c r="J50" t="inlineStr">
        <is>
          <t>candidate</t>
        </is>
      </c>
      <c r="K50" t="inlineStr">
        <is>
          <t>Low</t>
        </is>
      </c>
      <c r="L50" t="inlineStr">
        <is>
          <t>brush-of-magic/mystery-series-2/pascal</t>
        </is>
      </c>
    </row>
    <row r="51">
      <c r="A51" t="inlineStr">
        <is>
          <t>PHS-0005</t>
        </is>
      </c>
      <c r="B51" t="n">
        <v>6</v>
      </c>
      <c r="C51" t="inlineStr">
        <is>
          <t>Pegasus</t>
        </is>
      </c>
      <c r="D51" t="inlineStr">
        <is>
          <t>Pegasus – Disney Brush of Magic Mystery Pin Blind Pack Series 2 - 2-Pc. - Limited Release</t>
        </is>
      </c>
      <c r="E51" t="inlineStr"/>
      <c r="F51" t="inlineStr"/>
      <c r="G51" t="inlineStr">
        <is>
          <t>possible</t>
        </is>
      </c>
      <c r="H51" t="inlineStr"/>
      <c r="I51" t="inlineStr">
        <is>
          <t>none</t>
        </is>
      </c>
      <c r="J51" t="inlineStr">
        <is>
          <t>candidate</t>
        </is>
      </c>
      <c r="K51" t="inlineStr">
        <is>
          <t>Low</t>
        </is>
      </c>
      <c r="L51" t="inlineStr">
        <is>
          <t>brush-of-magic/mystery-series-2/pegasus</t>
        </is>
      </c>
    </row>
    <row r="52">
      <c r="A52" t="inlineStr">
        <is>
          <t>PHS-0005</t>
        </is>
      </c>
      <c r="B52" t="n">
        <v>7</v>
      </c>
      <c r="C52" t="inlineStr">
        <is>
          <t>Pinocchio</t>
        </is>
      </c>
      <c r="D52" t="inlineStr">
        <is>
          <t>Pinocchio – Disney Brush of Magic Mystery Pin Blind Pack Series 2 - 2-Pc. - Limited Release</t>
        </is>
      </c>
      <c r="E52" t="inlineStr"/>
      <c r="F52" t="inlineStr"/>
      <c r="G52" t="inlineStr">
        <is>
          <t>possible</t>
        </is>
      </c>
      <c r="H52" t="inlineStr"/>
      <c r="I52" t="inlineStr">
        <is>
          <t>none</t>
        </is>
      </c>
      <c r="J52" t="inlineStr">
        <is>
          <t>candidate</t>
        </is>
      </c>
      <c r="K52" t="inlineStr">
        <is>
          <t>Low</t>
        </is>
      </c>
      <c r="L52" t="inlineStr">
        <is>
          <t>brush-of-magic/mystery-series-2/pinocchio</t>
        </is>
      </c>
    </row>
    <row r="53">
      <c r="A53" t="inlineStr">
        <is>
          <t>PHS-0005</t>
        </is>
      </c>
      <c r="B53" t="n">
        <v>8</v>
      </c>
      <c r="C53" t="inlineStr">
        <is>
          <t>Pongo</t>
        </is>
      </c>
      <c r="D53" t="inlineStr">
        <is>
          <t>Pongo – Disney Brush of Magic Mystery Pin Blind Pack Series 2 - 2-Pc. - Limited Release</t>
        </is>
      </c>
      <c r="E53" t="inlineStr"/>
      <c r="F53" t="inlineStr"/>
      <c r="G53" t="inlineStr">
        <is>
          <t>possible</t>
        </is>
      </c>
      <c r="H53" t="inlineStr"/>
      <c r="I53" t="inlineStr">
        <is>
          <t>none</t>
        </is>
      </c>
      <c r="J53" t="inlineStr">
        <is>
          <t>candidate</t>
        </is>
      </c>
      <c r="K53" t="inlineStr">
        <is>
          <t>Low</t>
        </is>
      </c>
      <c r="L53" t="inlineStr">
        <is>
          <t>brush-of-magic/mystery-series-2/pongo</t>
        </is>
      </c>
    </row>
    <row r="54">
      <c r="A54" t="inlineStr">
        <is>
          <t>PHS-0005</t>
        </is>
      </c>
      <c r="B54" t="n">
        <v>9</v>
      </c>
      <c r="C54" t="inlineStr">
        <is>
          <t>Simba</t>
        </is>
      </c>
      <c r="D54" t="inlineStr">
        <is>
          <t>Simba – Disney Brush of Magic Mystery Pin Blind Pack Series 2 - 2-Pc. - Limited Release</t>
        </is>
      </c>
      <c r="E54" t="inlineStr"/>
      <c r="F54" t="inlineStr"/>
      <c r="G54" t="inlineStr">
        <is>
          <t>possible</t>
        </is>
      </c>
      <c r="H54" t="inlineStr"/>
      <c r="I54" t="inlineStr">
        <is>
          <t>none</t>
        </is>
      </c>
      <c r="J54" t="inlineStr">
        <is>
          <t>candidate</t>
        </is>
      </c>
      <c r="K54" t="inlineStr">
        <is>
          <t>Low</t>
        </is>
      </c>
      <c r="L54" t="inlineStr">
        <is>
          <t>brush-of-magic/mystery-series-2/simba</t>
        </is>
      </c>
    </row>
    <row r="55">
      <c r="A55" t="inlineStr">
        <is>
          <t>PHS-0005</t>
        </is>
      </c>
      <c r="B55" t="n">
        <v>10</v>
      </c>
      <c r="C55" t="inlineStr">
        <is>
          <t>Tigger</t>
        </is>
      </c>
      <c r="D55" t="inlineStr">
        <is>
          <t>Tigger – Disney Brush of Magic Mystery Pin Blind Pack Series 2 - 2-Pc. - Limited Release</t>
        </is>
      </c>
      <c r="E55" t="inlineStr"/>
      <c r="F55" t="inlineStr"/>
      <c r="G55" t="inlineStr">
        <is>
          <t>possible</t>
        </is>
      </c>
      <c r="H55" t="inlineStr"/>
      <c r="I55" t="inlineStr">
        <is>
          <t>none</t>
        </is>
      </c>
      <c r="J55" t="inlineStr">
        <is>
          <t>candidate</t>
        </is>
      </c>
      <c r="K55" t="inlineStr">
        <is>
          <t>Low</t>
        </is>
      </c>
      <c r="L55" t="inlineStr">
        <is>
          <t>brush-of-magic/mystery-series-2/tigger</t>
        </is>
      </c>
    </row>
    <row r="56">
      <c r="A56" t="inlineStr">
        <is>
          <t>PHS-0006</t>
        </is>
      </c>
      <c r="B56" t="n">
        <v>1</v>
      </c>
      <c r="C56" t="inlineStr">
        <is>
          <t>Chernabog</t>
        </is>
      </c>
      <c r="D56" t="inlineStr">
        <is>
          <t>Chernabog – US: Disney Brush of Magic Mystery Pin Blind Pack Series 3 - 2-Pc. - Limited Release | UK: Disney Brush of Magic Series 3 Limited Release Mystery Pin Set</t>
        </is>
      </c>
      <c r="E56" t="inlineStr"/>
      <c r="F56" t="inlineStr"/>
      <c r="G56" t="inlineStr">
        <is>
          <t>possible</t>
        </is>
      </c>
      <c r="H56" t="inlineStr"/>
      <c r="I56" t="inlineStr">
        <is>
          <t>none</t>
        </is>
      </c>
      <c r="J56" t="inlineStr">
        <is>
          <t>candidate</t>
        </is>
      </c>
      <c r="K56" t="inlineStr">
        <is>
          <t>High</t>
        </is>
      </c>
      <c r="L56" t="inlineStr">
        <is>
          <t>brush-of-magic/mystery-series-3/chernabog</t>
        </is>
      </c>
    </row>
    <row r="57">
      <c r="A57" t="inlineStr">
        <is>
          <t>PHS-0006</t>
        </is>
      </c>
      <c r="B57" t="n">
        <v>2</v>
      </c>
      <c r="C57" t="inlineStr">
        <is>
          <t>Cruella de Vil</t>
        </is>
      </c>
      <c r="D57" t="inlineStr">
        <is>
          <t>Cruella de Vil – US: Disney Brush of Magic Mystery Pin Blind Pack Series 3 - 2-Pc. - Limited Release | UK: Disney Brush of Magic Series 3 Limited Release Mystery Pin Set</t>
        </is>
      </c>
      <c r="E57" t="inlineStr"/>
      <c r="F57" t="inlineStr"/>
      <c r="G57" t="inlineStr">
        <is>
          <t>possible</t>
        </is>
      </c>
      <c r="H57" t="inlineStr"/>
      <c r="I57" t="inlineStr">
        <is>
          <t>none</t>
        </is>
      </c>
      <c r="J57" t="inlineStr">
        <is>
          <t>candidate</t>
        </is>
      </c>
      <c r="K57" t="inlineStr">
        <is>
          <t>High</t>
        </is>
      </c>
      <c r="L57" t="inlineStr">
        <is>
          <t>brush-of-magic/mystery-series-3/cruella-de-vil</t>
        </is>
      </c>
    </row>
    <row r="58">
      <c r="A58" t="inlineStr">
        <is>
          <t>PHS-0006</t>
        </is>
      </c>
      <c r="B58" t="n">
        <v>3</v>
      </c>
      <c r="C58" t="inlineStr">
        <is>
          <t>Daisy Duck</t>
        </is>
      </c>
      <c r="D58" t="inlineStr">
        <is>
          <t>Daisy Duck – US: Disney Brush of Magic Mystery Pin Blind Pack Series 3 - 2-Pc. - Limited Release | UK: Disney Brush of Magic Series 3 Limited Release Mystery Pin Set</t>
        </is>
      </c>
      <c r="E58" t="inlineStr"/>
      <c r="F58" t="inlineStr"/>
      <c r="G58" t="inlineStr">
        <is>
          <t>possible</t>
        </is>
      </c>
      <c r="H58" t="inlineStr"/>
      <c r="I58" t="inlineStr">
        <is>
          <t>none</t>
        </is>
      </c>
      <c r="J58" t="inlineStr">
        <is>
          <t>candidate</t>
        </is>
      </c>
      <c r="K58" t="inlineStr">
        <is>
          <t>High</t>
        </is>
      </c>
      <c r="L58" t="inlineStr">
        <is>
          <t>brush-of-magic/mystery-series-3/daisy-duck</t>
        </is>
      </c>
    </row>
    <row r="59">
      <c r="A59" t="inlineStr">
        <is>
          <t>PHS-0006</t>
        </is>
      </c>
      <c r="B59" t="n">
        <v>4</v>
      </c>
      <c r="C59" t="inlineStr">
        <is>
          <t>Dodger</t>
        </is>
      </c>
      <c r="D59" t="inlineStr">
        <is>
          <t>Dodger – US: Disney Brush of Magic Mystery Pin Blind Pack Series 3 - 2-Pc. - Limited Release | UK: Disney Brush of Magic Series 3 Limited Release Mystery Pin Set</t>
        </is>
      </c>
      <c r="E59" t="inlineStr"/>
      <c r="F59" t="inlineStr"/>
      <c r="G59" t="inlineStr">
        <is>
          <t>possible</t>
        </is>
      </c>
      <c r="H59" t="inlineStr"/>
      <c r="I59" t="inlineStr">
        <is>
          <t>none</t>
        </is>
      </c>
      <c r="J59" t="inlineStr">
        <is>
          <t>candidate</t>
        </is>
      </c>
      <c r="K59" t="inlineStr">
        <is>
          <t>High</t>
        </is>
      </c>
      <c r="L59" t="inlineStr">
        <is>
          <t>brush-of-magic/mystery-series-3/dodger</t>
        </is>
      </c>
    </row>
    <row r="60">
      <c r="A60" t="inlineStr">
        <is>
          <t>PHS-0006</t>
        </is>
      </c>
      <c r="B60" t="n">
        <v>5</v>
      </c>
      <c r="C60" t="inlineStr">
        <is>
          <t>Gaston</t>
        </is>
      </c>
      <c r="D60" t="inlineStr">
        <is>
          <t>Gaston – US: Disney Brush of Magic Mystery Pin Blind Pack Series 3 - 2-Pc. - Limited Release | UK: Disney Brush of Magic Series 3 Limited Release Mystery Pin Set</t>
        </is>
      </c>
      <c r="E60" t="inlineStr"/>
      <c r="F60" t="inlineStr"/>
      <c r="G60" t="inlineStr">
        <is>
          <t>possible</t>
        </is>
      </c>
      <c r="H60" t="inlineStr"/>
      <c r="I60" t="inlineStr">
        <is>
          <t>none</t>
        </is>
      </c>
      <c r="J60" t="inlineStr">
        <is>
          <t>candidate</t>
        </is>
      </c>
      <c r="K60" t="inlineStr">
        <is>
          <t>High</t>
        </is>
      </c>
      <c r="L60" t="inlineStr">
        <is>
          <t>brush-of-magic/mystery-series-3/gaston</t>
        </is>
      </c>
    </row>
    <row r="61">
      <c r="A61" t="inlineStr">
        <is>
          <t>PHS-0006</t>
        </is>
      </c>
      <c r="B61" t="n">
        <v>6</v>
      </c>
      <c r="C61" t="inlineStr">
        <is>
          <t>Louis</t>
        </is>
      </c>
      <c r="D61" t="inlineStr">
        <is>
          <t>Louis – US: Disney Brush of Magic Mystery Pin Blind Pack Series 3 - 2-Pc. - Limited Release | UK: Disney Brush of Magic Series 3 Limited Release Mystery Pin Set</t>
        </is>
      </c>
      <c r="E61" t="inlineStr"/>
      <c r="F61" t="inlineStr"/>
      <c r="G61" t="inlineStr">
        <is>
          <t>possible</t>
        </is>
      </c>
      <c r="H61" t="inlineStr"/>
      <c r="I61" t="inlineStr">
        <is>
          <t>none</t>
        </is>
      </c>
      <c r="J61" t="inlineStr">
        <is>
          <t>candidate</t>
        </is>
      </c>
      <c r="K61" t="inlineStr">
        <is>
          <t>High</t>
        </is>
      </c>
      <c r="L61" t="inlineStr">
        <is>
          <t>brush-of-magic/mystery-series-3/louis</t>
        </is>
      </c>
    </row>
    <row r="62">
      <c r="A62" t="inlineStr">
        <is>
          <t>PHS-0006</t>
        </is>
      </c>
      <c r="B62" t="n">
        <v>7</v>
      </c>
      <c r="C62" t="inlineStr">
        <is>
          <t>Megara</t>
        </is>
      </c>
      <c r="D62" t="inlineStr">
        <is>
          <t>Megara – US: Disney Brush of Magic Mystery Pin Blind Pack Series 3 - 2-Pc. - Limited Release | UK: Disney Brush of Magic Series 3 Limited Release Mystery Pin Set</t>
        </is>
      </c>
      <c r="E62" t="inlineStr"/>
      <c r="F62" t="inlineStr"/>
      <c r="G62" t="inlineStr">
        <is>
          <t>possible</t>
        </is>
      </c>
      <c r="H62" t="inlineStr"/>
      <c r="I62" t="inlineStr">
        <is>
          <t>none</t>
        </is>
      </c>
      <c r="J62" t="inlineStr">
        <is>
          <t>candidate</t>
        </is>
      </c>
      <c r="K62" t="inlineStr">
        <is>
          <t>High</t>
        </is>
      </c>
      <c r="L62" t="inlineStr">
        <is>
          <t>brush-of-magic/mystery-series-3/megara</t>
        </is>
      </c>
    </row>
    <row r="63">
      <c r="A63" t="inlineStr">
        <is>
          <t>PHS-0006</t>
        </is>
      </c>
      <c r="B63" t="n">
        <v>8</v>
      </c>
      <c r="C63" t="inlineStr">
        <is>
          <t>Mr. Toad</t>
        </is>
      </c>
      <c r="D63" t="inlineStr">
        <is>
          <t>Mr. Toad – US: Disney Brush of Magic Mystery Pin Blind Pack Series 3 - 2-Pc. - Limited Release | UK: Disney Brush of Magic Series 3 Limited Release Mystery Pin Set</t>
        </is>
      </c>
      <c r="E63" t="inlineStr"/>
      <c r="F63" t="inlineStr"/>
      <c r="G63" t="inlineStr">
        <is>
          <t>possible</t>
        </is>
      </c>
      <c r="H63" t="inlineStr"/>
      <c r="I63" t="inlineStr">
        <is>
          <t>none</t>
        </is>
      </c>
      <c r="J63" t="inlineStr">
        <is>
          <t>candidate</t>
        </is>
      </c>
      <c r="K63" t="inlineStr">
        <is>
          <t>High</t>
        </is>
      </c>
      <c r="L63" t="inlineStr">
        <is>
          <t>brush-of-magic/mystery-series-3/mr-toad</t>
        </is>
      </c>
    </row>
    <row r="64">
      <c r="A64" t="inlineStr">
        <is>
          <t>PHS-0006</t>
        </is>
      </c>
      <c r="B64" t="n">
        <v>9</v>
      </c>
      <c r="C64" t="inlineStr">
        <is>
          <t>Powerline</t>
        </is>
      </c>
      <c r="D64" t="inlineStr">
        <is>
          <t>Powerline – US: Disney Brush of Magic Mystery Pin Blind Pack Series 3 - 2-Pc. - Limited Release | UK: Disney Brush of Magic Series 3 Limited Release Mystery Pin Set</t>
        </is>
      </c>
      <c r="E64" t="inlineStr"/>
      <c r="F64" t="inlineStr"/>
      <c r="G64" t="inlineStr">
        <is>
          <t>possible</t>
        </is>
      </c>
      <c r="H64" t="inlineStr"/>
      <c r="I64" t="inlineStr">
        <is>
          <t>none</t>
        </is>
      </c>
      <c r="J64" t="inlineStr">
        <is>
          <t>candidate</t>
        </is>
      </c>
      <c r="K64" t="inlineStr">
        <is>
          <t>High</t>
        </is>
      </c>
      <c r="L64" t="inlineStr">
        <is>
          <t>brush-of-magic/mystery-series-3/powerline</t>
        </is>
      </c>
    </row>
    <row r="65">
      <c r="A65" t="inlineStr">
        <is>
          <t>PHS-0006</t>
        </is>
      </c>
      <c r="B65" t="n">
        <v>10</v>
      </c>
      <c r="C65" t="inlineStr">
        <is>
          <t>Zazu</t>
        </is>
      </c>
      <c r="D65" t="inlineStr">
        <is>
          <t>Zazu – US: Disney Brush of Magic Mystery Pin Blind Pack Series 3 - 2-Pc. - Limited Release | UK: Disney Brush of Magic Series 3 Limited Release Mystery Pin Set</t>
        </is>
      </c>
      <c r="E65" t="inlineStr"/>
      <c r="F65" t="inlineStr"/>
      <c r="G65" t="inlineStr">
        <is>
          <t>possible</t>
        </is>
      </c>
      <c r="H65" t="inlineStr"/>
      <c r="I65" t="inlineStr">
        <is>
          <t>none</t>
        </is>
      </c>
      <c r="J65" t="inlineStr">
        <is>
          <t>candidate</t>
        </is>
      </c>
      <c r="K65" t="inlineStr">
        <is>
          <t>High</t>
        </is>
      </c>
      <c r="L65" t="inlineStr">
        <is>
          <t>brush-of-magic/mystery-series-3/zazu</t>
        </is>
      </c>
    </row>
    <row r="66">
      <c r="A66" t="inlineStr">
        <is>
          <t>PHS-0007</t>
        </is>
      </c>
      <c r="B66" t="n">
        <v>1</v>
      </c>
      <c r="C66" t="inlineStr">
        <is>
          <t>Peter Pan</t>
        </is>
      </c>
      <c r="D66" t="inlineStr">
        <is>
          <t>Peter Pan – Disney Classics London Pin Set</t>
        </is>
      </c>
      <c r="E66" t="inlineStr"/>
      <c r="F66" t="inlineStr"/>
      <c r="G66" t="inlineStr">
        <is>
          <t>N</t>
        </is>
      </c>
      <c r="H66" t="inlineStr"/>
      <c r="I66" t="inlineStr">
        <is>
          <t>none</t>
        </is>
      </c>
      <c r="J66" t="inlineStr">
        <is>
          <t>candidate</t>
        </is>
      </c>
      <c r="K66" t="inlineStr">
        <is>
          <t>Medium</t>
        </is>
      </c>
      <c r="L66" t="inlineStr">
        <is>
          <t>disney-classics-london/pin-set/peter-pan</t>
        </is>
      </c>
    </row>
    <row r="67">
      <c r="A67" t="inlineStr">
        <is>
          <t>PHS-0007</t>
        </is>
      </c>
      <c r="B67" t="n">
        <v>2</v>
      </c>
      <c r="C67" t="inlineStr">
        <is>
          <t>Stitch</t>
        </is>
      </c>
      <c r="D67" t="inlineStr">
        <is>
          <t>Stitch – Disney Classics London Pin Set</t>
        </is>
      </c>
      <c r="E67" t="inlineStr"/>
      <c r="F67" t="inlineStr"/>
      <c r="G67" t="inlineStr">
        <is>
          <t>N</t>
        </is>
      </c>
      <c r="H67" t="inlineStr"/>
      <c r="I67" t="inlineStr">
        <is>
          <t>none</t>
        </is>
      </c>
      <c r="J67" t="inlineStr">
        <is>
          <t>candidate</t>
        </is>
      </c>
      <c r="K67" t="inlineStr">
        <is>
          <t>Medium</t>
        </is>
      </c>
      <c r="L67" t="inlineStr">
        <is>
          <t>disney-classics-london/pin-set/stitch</t>
        </is>
      </c>
    </row>
    <row r="68">
      <c r="A68" t="inlineStr">
        <is>
          <t>PHS-0007</t>
        </is>
      </c>
      <c r="B68" t="n">
        <v>3</v>
      </c>
      <c r="C68" t="inlineStr">
        <is>
          <t>Winnie the Pooh</t>
        </is>
      </c>
      <c r="D68" t="inlineStr">
        <is>
          <t>Winnie the Pooh – Disney Classics London Pin Set</t>
        </is>
      </c>
      <c r="E68" t="inlineStr"/>
      <c r="F68" t="inlineStr"/>
      <c r="G68" t="inlineStr">
        <is>
          <t>N</t>
        </is>
      </c>
      <c r="H68" t="inlineStr"/>
      <c r="I68" t="inlineStr">
        <is>
          <t>none</t>
        </is>
      </c>
      <c r="J68" t="inlineStr">
        <is>
          <t>candidate</t>
        </is>
      </c>
      <c r="K68" t="inlineStr">
        <is>
          <t>Medium</t>
        </is>
      </c>
      <c r="L68" t="inlineStr">
        <is>
          <t>disney-classics-london/pin-set/winnie-the-pooh</t>
        </is>
      </c>
    </row>
    <row r="69">
      <c r="A69" t="inlineStr">
        <is>
          <t>PHS-0008</t>
        </is>
      </c>
      <c r="B69" t="n">
        <v>1</v>
      </c>
      <c r="C69" t="inlineStr">
        <is>
          <t>Alice</t>
        </is>
      </c>
      <c r="D69" t="inlineStr">
        <is>
          <t>Alice – Alice in Wonderland pins (March 2024)</t>
        </is>
      </c>
      <c r="E69" t="inlineStr"/>
      <c r="F69" t="inlineStr"/>
      <c r="G69" t="inlineStr">
        <is>
          <t>N</t>
        </is>
      </c>
      <c r="H69" t="inlineStr"/>
      <c r="I69" t="inlineStr">
        <is>
          <t>none</t>
        </is>
      </c>
      <c r="J69" t="inlineStr">
        <is>
          <t>candidate</t>
        </is>
      </c>
      <c r="K69" t="inlineStr">
        <is>
          <t>Medium</t>
        </is>
      </c>
      <c r="L69" t="inlineStr">
        <is>
          <t>dlp/2024/alice-in-wonderland-march-2024/alice</t>
        </is>
      </c>
    </row>
    <row r="70">
      <c r="A70" t="inlineStr">
        <is>
          <t>PHS-0008</t>
        </is>
      </c>
      <c r="B70" t="n">
        <v>2</v>
      </c>
      <c r="C70" t="inlineStr">
        <is>
          <t>Cheshire Cat</t>
        </is>
      </c>
      <c r="D70" t="inlineStr">
        <is>
          <t>Cheshire Cat – Alice in Wonderland pins (March 2024)</t>
        </is>
      </c>
      <c r="E70" t="inlineStr"/>
      <c r="F70" t="inlineStr"/>
      <c r="G70" t="inlineStr">
        <is>
          <t>N</t>
        </is>
      </c>
      <c r="H70" t="inlineStr"/>
      <c r="I70" t="inlineStr">
        <is>
          <t>none</t>
        </is>
      </c>
      <c r="J70" t="inlineStr">
        <is>
          <t>candidate</t>
        </is>
      </c>
      <c r="K70" t="inlineStr">
        <is>
          <t>Medium</t>
        </is>
      </c>
      <c r="L70" t="inlineStr">
        <is>
          <t>dlp/2024/alice-in-wonderland-march-2024/cheshire-cat</t>
        </is>
      </c>
    </row>
    <row r="71">
      <c r="A71" t="inlineStr">
        <is>
          <t>PHS-0008</t>
        </is>
      </c>
      <c r="B71" t="n">
        <v>3</v>
      </c>
      <c r="C71" t="inlineStr">
        <is>
          <t>Mad Hatter; March Hare</t>
        </is>
      </c>
      <c r="D71" t="inlineStr">
        <is>
          <t>Mad Hatter &amp; March Hare – Alice in Wonderland pins (March 2024)</t>
        </is>
      </c>
      <c r="E71" t="inlineStr"/>
      <c r="F71" t="inlineStr"/>
      <c r="G71" t="inlineStr">
        <is>
          <t>N</t>
        </is>
      </c>
      <c r="H71" t="inlineStr"/>
      <c r="I71" t="inlineStr">
        <is>
          <t>none</t>
        </is>
      </c>
      <c r="J71" t="inlineStr">
        <is>
          <t>candidate</t>
        </is>
      </c>
      <c r="K71" t="inlineStr">
        <is>
          <t>Medium</t>
        </is>
      </c>
      <c r="L71" t="inlineStr">
        <is>
          <t>dlp/2024/alice-in-wonderland-march-2024/mad-hatter-with-march-hare</t>
        </is>
      </c>
    </row>
    <row r="72">
      <c r="A72" t="inlineStr">
        <is>
          <t>PHS-0008</t>
        </is>
      </c>
      <c r="B72" t="n">
        <v>4</v>
      </c>
      <c r="C72" t="inlineStr">
        <is>
          <t>White Rabbit</t>
        </is>
      </c>
      <c r="D72" t="inlineStr">
        <is>
          <t>White Rabbit – Alice in Wonderland pins (March 2024)</t>
        </is>
      </c>
      <c r="E72" t="inlineStr"/>
      <c r="F72" t="inlineStr"/>
      <c r="G72" t="inlineStr">
        <is>
          <t>N</t>
        </is>
      </c>
      <c r="H72" t="inlineStr"/>
      <c r="I72" t="inlineStr">
        <is>
          <t>none</t>
        </is>
      </c>
      <c r="J72" t="inlineStr">
        <is>
          <t>candidate</t>
        </is>
      </c>
      <c r="K72" t="inlineStr">
        <is>
          <t>Medium</t>
        </is>
      </c>
      <c r="L72" t="inlineStr">
        <is>
          <t>dlp/2024/alice-in-wonderland-march-2024/white-rabbit</t>
        </is>
      </c>
    </row>
    <row r="73">
      <c r="A73" t="inlineStr">
        <is>
          <t>PHS-0009</t>
        </is>
      </c>
      <c r="B73" t="n">
        <v>1</v>
      </c>
      <c r="C73" t="inlineStr">
        <is>
          <t>Periwinkle; Tinker Bell</t>
        </is>
      </c>
      <c r="D73" t="inlineStr">
        <is>
          <t>Periwinkle &amp; Tinker Bell – Tinker Bell and Periwinkle jumbo LE (Symphony of Colours)</t>
        </is>
      </c>
      <c r="E73" t="inlineStr"/>
      <c r="F73" t="inlineStr"/>
      <c r="G73" t="inlineStr">
        <is>
          <t>N</t>
        </is>
      </c>
      <c r="H73" t="inlineStr"/>
      <c r="I73" t="inlineStr">
        <is>
          <t>none</t>
        </is>
      </c>
      <c r="J73" t="inlineStr">
        <is>
          <t>candidate</t>
        </is>
      </c>
      <c r="K73" t="inlineStr">
        <is>
          <t>Medium</t>
        </is>
      </c>
      <c r="L73" t="inlineStr">
        <is>
          <t>dlp/2024/tinker-bell-periwinkle-symphony-of-colours-jumbo/tinker-bell-and-periwinkle</t>
        </is>
      </c>
    </row>
    <row r="74">
      <c r="A74" t="inlineStr">
        <is>
          <t>PHS-0010</t>
        </is>
      </c>
      <c r="B74" t="n">
        <v>1</v>
      </c>
      <c r="C74" t="inlineStr">
        <is>
          <t>Fauna</t>
        </is>
      </c>
      <c r="D74" t="inlineStr">
        <is>
          <t>Fauna – Flora, Fauna and Merryweather - Disneyland Paris birthday (April 12)</t>
        </is>
      </c>
      <c r="E74" t="inlineStr"/>
      <c r="F74" t="n">
        <v>700</v>
      </c>
      <c r="G74" t="inlineStr">
        <is>
          <t>N</t>
        </is>
      </c>
      <c r="H74" t="inlineStr"/>
      <c r="I74" t="inlineStr">
        <is>
          <t>none</t>
        </is>
      </c>
      <c r="J74" t="inlineStr">
        <is>
          <t>candidate</t>
        </is>
      </c>
      <c r="K74" t="inlineStr">
        <is>
          <t>Medium</t>
        </is>
      </c>
      <c r="L74" t="inlineStr">
        <is>
          <t>dlp/2024/dlp-birthday-good-fairies-april-2024/fauna</t>
        </is>
      </c>
    </row>
    <row r="75">
      <c r="A75" t="inlineStr">
        <is>
          <t>PHS-0010</t>
        </is>
      </c>
      <c r="B75" t="n">
        <v>2</v>
      </c>
      <c r="C75" t="inlineStr">
        <is>
          <t>Flora</t>
        </is>
      </c>
      <c r="D75" t="inlineStr">
        <is>
          <t>Flora – Flora, Fauna and Merryweather - Disneyland Paris birthday (April 12)</t>
        </is>
      </c>
      <c r="E75" t="inlineStr"/>
      <c r="F75" t="n">
        <v>700</v>
      </c>
      <c r="G75" t="inlineStr">
        <is>
          <t>N</t>
        </is>
      </c>
      <c r="H75" t="inlineStr"/>
      <c r="I75" t="inlineStr">
        <is>
          <t>none</t>
        </is>
      </c>
      <c r="J75" t="inlineStr">
        <is>
          <t>candidate</t>
        </is>
      </c>
      <c r="K75" t="inlineStr">
        <is>
          <t>Medium</t>
        </is>
      </c>
      <c r="L75" t="inlineStr">
        <is>
          <t>dlp/2024/dlp-birthday-good-fairies-april-2024/flora</t>
        </is>
      </c>
    </row>
    <row r="76">
      <c r="A76" t="inlineStr">
        <is>
          <t>PHS-0010</t>
        </is>
      </c>
      <c r="B76" t="n">
        <v>3</v>
      </c>
      <c r="C76" t="inlineStr">
        <is>
          <t>Merryweather</t>
        </is>
      </c>
      <c r="D76" t="inlineStr">
        <is>
          <t>Merryweather – Flora, Fauna and Merryweather - Disneyland Paris birthday (April 12)</t>
        </is>
      </c>
      <c r="E76" t="inlineStr"/>
      <c r="F76" t="n">
        <v>700</v>
      </c>
      <c r="G76" t="inlineStr">
        <is>
          <t>N</t>
        </is>
      </c>
      <c r="H76" t="inlineStr"/>
      <c r="I76" t="inlineStr">
        <is>
          <t>none</t>
        </is>
      </c>
      <c r="J76" t="inlineStr">
        <is>
          <t>candidate</t>
        </is>
      </c>
      <c r="K76" t="inlineStr">
        <is>
          <t>Medium</t>
        </is>
      </c>
      <c r="L76" t="inlineStr">
        <is>
          <t>dlp/2024/dlp-birthday-good-fairies-april-2024/merryweather</t>
        </is>
      </c>
    </row>
    <row r="77">
      <c r="A77" t="inlineStr">
        <is>
          <t>PHS-0011</t>
        </is>
      </c>
      <c r="B77" t="n">
        <v>1</v>
      </c>
      <c r="C77" t="inlineStr">
        <is>
          <t>Alice</t>
        </is>
      </c>
      <c r="D77" t="inlineStr">
        <is>
          <t>Alice – Alice in Wonderland 2024 Pin Trading Event pins</t>
        </is>
      </c>
      <c r="E77" t="inlineStr"/>
      <c r="F77" t="inlineStr"/>
      <c r="G77" t="inlineStr">
        <is>
          <t>N</t>
        </is>
      </c>
      <c r="H77" t="inlineStr"/>
      <c r="I77" t="inlineStr">
        <is>
          <t>none</t>
        </is>
      </c>
      <c r="J77" t="inlineStr">
        <is>
          <t>candidate</t>
        </is>
      </c>
      <c r="K77" t="inlineStr">
        <is>
          <t>Low</t>
        </is>
      </c>
      <c r="L77" t="inlineStr">
        <is>
          <t>dlp/2024/alice-in-wonderland-pin-trading-event-2024/alice</t>
        </is>
      </c>
    </row>
    <row r="78">
      <c r="A78" t="inlineStr">
        <is>
          <t>PHS-0011</t>
        </is>
      </c>
      <c r="B78" t="n">
        <v>2</v>
      </c>
      <c r="C78" t="inlineStr">
        <is>
          <t>Cheshire Cat</t>
        </is>
      </c>
      <c r="D78" t="inlineStr">
        <is>
          <t>Cheshire Cat – Alice in Wonderland 2024 Pin Trading Event pins</t>
        </is>
      </c>
      <c r="E78" t="inlineStr"/>
      <c r="F78" t="inlineStr"/>
      <c r="G78" t="inlineStr">
        <is>
          <t>N</t>
        </is>
      </c>
      <c r="H78" t="inlineStr"/>
      <c r="I78" t="inlineStr">
        <is>
          <t>none</t>
        </is>
      </c>
      <c r="J78" t="inlineStr">
        <is>
          <t>candidate</t>
        </is>
      </c>
      <c r="K78" t="inlineStr">
        <is>
          <t>Low</t>
        </is>
      </c>
      <c r="L78" t="inlineStr">
        <is>
          <t>dlp/2024/alice-in-wonderland-pin-trading-event-2024/cheshire-cat</t>
        </is>
      </c>
    </row>
    <row r="79">
      <c r="A79" t="inlineStr">
        <is>
          <t>PHS-0011</t>
        </is>
      </c>
      <c r="B79" t="n">
        <v>3</v>
      </c>
      <c r="C79" t="inlineStr">
        <is>
          <t>Mad Hatter</t>
        </is>
      </c>
      <c r="D79" t="inlineStr">
        <is>
          <t>Mad Hatter – Alice in Wonderland 2024 Pin Trading Event pins</t>
        </is>
      </c>
      <c r="E79" t="inlineStr"/>
      <c r="F79" t="inlineStr"/>
      <c r="G79" t="inlineStr">
        <is>
          <t>N</t>
        </is>
      </c>
      <c r="H79" t="inlineStr"/>
      <c r="I79" t="inlineStr">
        <is>
          <t>none</t>
        </is>
      </c>
      <c r="J79" t="inlineStr">
        <is>
          <t>candidate</t>
        </is>
      </c>
      <c r="K79" t="inlineStr">
        <is>
          <t>Low</t>
        </is>
      </c>
      <c r="L79" t="inlineStr">
        <is>
          <t>dlp/2024/alice-in-wonderland-pin-trading-event-2024/mad-hatter</t>
        </is>
      </c>
    </row>
    <row r="80">
      <c r="A80" t="inlineStr">
        <is>
          <t>PHS-0011</t>
        </is>
      </c>
      <c r="B80" t="n">
        <v>4</v>
      </c>
      <c r="C80" t="inlineStr">
        <is>
          <t>March Hare</t>
        </is>
      </c>
      <c r="D80" t="inlineStr">
        <is>
          <t>March Hare – Alice in Wonderland 2024 Pin Trading Event pins</t>
        </is>
      </c>
      <c r="E80" t="inlineStr"/>
      <c r="F80" t="inlineStr"/>
      <c r="G80" t="inlineStr">
        <is>
          <t>N</t>
        </is>
      </c>
      <c r="H80" t="inlineStr"/>
      <c r="I80" t="inlineStr">
        <is>
          <t>none</t>
        </is>
      </c>
      <c r="J80" t="inlineStr">
        <is>
          <t>candidate</t>
        </is>
      </c>
      <c r="K80" t="inlineStr">
        <is>
          <t>Low</t>
        </is>
      </c>
      <c r="L80" t="inlineStr">
        <is>
          <t>dlp/2024/alice-in-wonderland-pin-trading-event-2024/march-hare</t>
        </is>
      </c>
    </row>
    <row r="81">
      <c r="A81" t="inlineStr">
        <is>
          <t>PHS-0011</t>
        </is>
      </c>
      <c r="B81" t="n">
        <v>5</v>
      </c>
      <c r="C81" t="inlineStr">
        <is>
          <t>Red Queen</t>
        </is>
      </c>
      <c r="D81" t="inlineStr">
        <is>
          <t>Red Queen – Alice in Wonderland 2024 Pin Trading Event pins</t>
        </is>
      </c>
      <c r="E81" t="inlineStr"/>
      <c r="F81" t="inlineStr"/>
      <c r="G81" t="inlineStr">
        <is>
          <t>N</t>
        </is>
      </c>
      <c r="H81" t="inlineStr"/>
      <c r="I81" t="inlineStr">
        <is>
          <t>none</t>
        </is>
      </c>
      <c r="J81" t="inlineStr">
        <is>
          <t>candidate</t>
        </is>
      </c>
      <c r="K81" t="inlineStr">
        <is>
          <t>Low</t>
        </is>
      </c>
      <c r="L81" t="inlineStr">
        <is>
          <t>dlp/2024/alice-in-wonderland-pin-trading-event-2024/red-queen</t>
        </is>
      </c>
    </row>
    <row r="82">
      <c r="A82" t="inlineStr">
        <is>
          <t>PHS-0012</t>
        </is>
      </c>
      <c r="B82" t="n">
        <v>1</v>
      </c>
      <c r="C82" t="inlineStr">
        <is>
          <t>Anger; Ennui</t>
        </is>
      </c>
      <c r="D82" t="inlineStr">
        <is>
          <t>Anger &amp; Ennui – Inside Out 2 pins</t>
        </is>
      </c>
      <c r="E82" t="inlineStr"/>
      <c r="F82" t="inlineStr"/>
      <c r="G82" t="inlineStr">
        <is>
          <t>N</t>
        </is>
      </c>
      <c r="H82" t="inlineStr"/>
      <c r="I82" t="inlineStr">
        <is>
          <t>none</t>
        </is>
      </c>
      <c r="J82" t="inlineStr">
        <is>
          <t>candidate</t>
        </is>
      </c>
      <c r="K82" t="inlineStr">
        <is>
          <t>Low</t>
        </is>
      </c>
      <c r="L82" t="inlineStr">
        <is>
          <t>dlp/2024/inside-out-2-june-2024/anger-with-ennui</t>
        </is>
      </c>
    </row>
    <row r="83">
      <c r="A83" t="inlineStr">
        <is>
          <t>PHS-0012</t>
        </is>
      </c>
      <c r="B83" t="n">
        <v>2</v>
      </c>
      <c r="C83" t="inlineStr">
        <is>
          <t>Disgust; Envy; Fear</t>
        </is>
      </c>
      <c r="D83" t="inlineStr">
        <is>
          <t>Disgust &amp; Envy &amp; Fear – Inside Out 2 pins</t>
        </is>
      </c>
      <c r="E83" t="inlineStr"/>
      <c r="F83" t="inlineStr"/>
      <c r="G83" t="inlineStr">
        <is>
          <t>N</t>
        </is>
      </c>
      <c r="H83" t="inlineStr"/>
      <c r="I83" t="inlineStr">
        <is>
          <t>none</t>
        </is>
      </c>
      <c r="J83" t="inlineStr">
        <is>
          <t>candidate</t>
        </is>
      </c>
      <c r="K83" t="inlineStr">
        <is>
          <t>Low</t>
        </is>
      </c>
      <c r="L83" t="inlineStr">
        <is>
          <t>dlp/2024/inside-out-2-june-2024/disgust-and-fear-with-envy</t>
        </is>
      </c>
    </row>
    <row r="84">
      <c r="A84" t="inlineStr">
        <is>
          <t>PHS-0012</t>
        </is>
      </c>
      <c r="B84" t="n">
        <v>3</v>
      </c>
      <c r="C84" t="inlineStr">
        <is>
          <t>Embarrassment; Sadness</t>
        </is>
      </c>
      <c r="D84" t="inlineStr">
        <is>
          <t>Embarrassment &amp; Sadness – Inside Out 2 pins</t>
        </is>
      </c>
      <c r="E84" t="inlineStr"/>
      <c r="F84" t="inlineStr"/>
      <c r="G84" t="inlineStr">
        <is>
          <t>N</t>
        </is>
      </c>
      <c r="H84" t="inlineStr"/>
      <c r="I84" t="inlineStr">
        <is>
          <t>none</t>
        </is>
      </c>
      <c r="J84" t="inlineStr">
        <is>
          <t>candidate</t>
        </is>
      </c>
      <c r="K84" t="inlineStr">
        <is>
          <t>Low</t>
        </is>
      </c>
      <c r="L84" t="inlineStr">
        <is>
          <t>dlp/2024/inside-out-2-june-2024/embarrassment-with-sadness</t>
        </is>
      </c>
    </row>
    <row r="85">
      <c r="A85" t="inlineStr">
        <is>
          <t>PHS-0012</t>
        </is>
      </c>
      <c r="B85" t="n">
        <v>4</v>
      </c>
      <c r="C85" t="inlineStr">
        <is>
          <t>Anxiety; Joy</t>
        </is>
      </c>
      <c r="D85" t="inlineStr">
        <is>
          <t>Anxiety &amp; Joy – Inside Out 2 pins</t>
        </is>
      </c>
      <c r="E85" t="inlineStr"/>
      <c r="F85" t="inlineStr"/>
      <c r="G85" t="inlineStr">
        <is>
          <t>N</t>
        </is>
      </c>
      <c r="H85" t="inlineStr"/>
      <c r="I85" t="inlineStr">
        <is>
          <t>none</t>
        </is>
      </c>
      <c r="J85" t="inlineStr">
        <is>
          <t>candidate</t>
        </is>
      </c>
      <c r="K85" t="inlineStr">
        <is>
          <t>Low</t>
        </is>
      </c>
      <c r="L85" t="inlineStr">
        <is>
          <t>dlp/2024/inside-out-2-june-2024/joy-with-anxiety</t>
        </is>
      </c>
    </row>
    <row r="86">
      <c r="A86" t="inlineStr">
        <is>
          <t>PHS-0013</t>
        </is>
      </c>
      <c r="B86" t="n">
        <v>1</v>
      </c>
      <c r="C86" t="inlineStr">
        <is>
          <t>Alien; Buzz Lightyear</t>
        </is>
      </c>
      <c r="D86" t="inlineStr">
        <is>
          <t>Alien &amp; Buzz Lightyear – Toy Story Aliens pins</t>
        </is>
      </c>
      <c r="E86" t="inlineStr"/>
      <c r="F86" t="inlineStr"/>
      <c r="G86" t="inlineStr">
        <is>
          <t>N</t>
        </is>
      </c>
      <c r="H86" t="inlineStr"/>
      <c r="I86" t="inlineStr">
        <is>
          <t>none</t>
        </is>
      </c>
      <c r="J86" t="inlineStr">
        <is>
          <t>candidate</t>
        </is>
      </c>
      <c r="K86" t="inlineStr">
        <is>
          <t>Low</t>
        </is>
      </c>
      <c r="L86" t="inlineStr">
        <is>
          <t>dlp/2024/toy-story-aliens-june-2024/alien-as-buzz-lightyear</t>
        </is>
      </c>
    </row>
    <row r="87">
      <c r="A87" t="inlineStr">
        <is>
          <t>PHS-0013</t>
        </is>
      </c>
      <c r="B87" t="n">
        <v>2</v>
      </c>
      <c r="C87" t="inlineStr">
        <is>
          <t>Alien; Carl Fredricksen; Russell</t>
        </is>
      </c>
      <c r="D87" t="inlineStr">
        <is>
          <t>Alien &amp; Carl Fredricksen &amp; Russell – Toy Story Aliens pins</t>
        </is>
      </c>
      <c r="E87" t="inlineStr"/>
      <c r="F87" t="inlineStr"/>
      <c r="G87" t="inlineStr">
        <is>
          <t>N</t>
        </is>
      </c>
      <c r="H87" t="inlineStr"/>
      <c r="I87" t="inlineStr">
        <is>
          <t>none</t>
        </is>
      </c>
      <c r="J87" t="inlineStr">
        <is>
          <t>candidate</t>
        </is>
      </c>
      <c r="K87" t="inlineStr">
        <is>
          <t>Low</t>
        </is>
      </c>
      <c r="L87" t="inlineStr">
        <is>
          <t>dlp/2024/toy-story-aliens-june-2024/alien-as-carl-and-russell</t>
        </is>
      </c>
    </row>
    <row r="88">
      <c r="A88" t="inlineStr">
        <is>
          <t>PHS-0013</t>
        </is>
      </c>
      <c r="B88" t="n">
        <v>3</v>
      </c>
      <c r="C88" t="inlineStr">
        <is>
          <t>Alien; Edna Mode; Mr. Incredible</t>
        </is>
      </c>
      <c r="D88" t="inlineStr">
        <is>
          <t>Alien &amp; Edna Mode &amp; Mr. Incredible – Toy Story Aliens pins</t>
        </is>
      </c>
      <c r="E88" t="inlineStr"/>
      <c r="F88" t="inlineStr"/>
      <c r="G88" t="inlineStr">
        <is>
          <t>N</t>
        </is>
      </c>
      <c r="H88" t="inlineStr"/>
      <c r="I88" t="inlineStr">
        <is>
          <t>none</t>
        </is>
      </c>
      <c r="J88" t="inlineStr">
        <is>
          <t>candidate</t>
        </is>
      </c>
      <c r="K88" t="inlineStr">
        <is>
          <t>Low</t>
        </is>
      </c>
      <c r="L88" t="inlineStr">
        <is>
          <t>dlp/2024/toy-story-aliens-june-2024/alien-as-mr-incredible-and-edna-mode</t>
        </is>
      </c>
    </row>
    <row r="89">
      <c r="A89" t="inlineStr">
        <is>
          <t>PHS-0013</t>
        </is>
      </c>
      <c r="B89" t="n">
        <v>4</v>
      </c>
      <c r="C89" t="inlineStr">
        <is>
          <t>Alien; Anger; Sadness</t>
        </is>
      </c>
      <c r="D89" t="inlineStr">
        <is>
          <t>Alien &amp; Anger &amp; Sadness – Toy Story Aliens pins</t>
        </is>
      </c>
      <c r="E89" t="inlineStr"/>
      <c r="F89" t="inlineStr"/>
      <c r="G89" t="inlineStr">
        <is>
          <t>N</t>
        </is>
      </c>
      <c r="H89" t="inlineStr"/>
      <c r="I89" t="inlineStr">
        <is>
          <t>none</t>
        </is>
      </c>
      <c r="J89" t="inlineStr">
        <is>
          <t>candidate</t>
        </is>
      </c>
      <c r="K89" t="inlineStr">
        <is>
          <t>Low</t>
        </is>
      </c>
      <c r="L89" t="inlineStr">
        <is>
          <t>dlp/2024/toy-story-aliens-june-2024/alien-as-sadness-and-anger</t>
        </is>
      </c>
    </row>
    <row r="90">
      <c r="A90" t="inlineStr">
        <is>
          <t>PHS-0013</t>
        </is>
      </c>
      <c r="B90" t="n">
        <v>5</v>
      </c>
      <c r="C90" t="inlineStr">
        <is>
          <t>Alien; Boo; Sulley</t>
        </is>
      </c>
      <c r="D90" t="inlineStr">
        <is>
          <t>Alien &amp; Boo &amp; Sulley – Toy Story Aliens pins</t>
        </is>
      </c>
      <c r="E90" t="inlineStr"/>
      <c r="F90" t="inlineStr"/>
      <c r="G90" t="inlineStr">
        <is>
          <t>N</t>
        </is>
      </c>
      <c r="H90" t="inlineStr"/>
      <c r="I90" t="inlineStr">
        <is>
          <t>none</t>
        </is>
      </c>
      <c r="J90" t="inlineStr">
        <is>
          <t>candidate</t>
        </is>
      </c>
      <c r="K90" t="inlineStr">
        <is>
          <t>Low</t>
        </is>
      </c>
      <c r="L90" t="inlineStr">
        <is>
          <t>dlp/2024/toy-story-aliens-june-2024/alien-as-sully-and-boo</t>
        </is>
      </c>
    </row>
    <row r="91">
      <c r="A91" t="inlineStr">
        <is>
          <t>PHS-0013</t>
        </is>
      </c>
      <c r="B91" t="n">
        <v>6</v>
      </c>
      <c r="C91" t="inlineStr">
        <is>
          <t>Alien; Jessie; Woody</t>
        </is>
      </c>
      <c r="D91" t="inlineStr">
        <is>
          <t>Alien &amp; Jessie &amp; Woody – Toy Story Aliens pins</t>
        </is>
      </c>
      <c r="E91" t="inlineStr"/>
      <c r="F91" t="inlineStr"/>
      <c r="G91" t="inlineStr">
        <is>
          <t>N</t>
        </is>
      </c>
      <c r="H91" t="inlineStr"/>
      <c r="I91" t="inlineStr">
        <is>
          <t>none</t>
        </is>
      </c>
      <c r="J91" t="inlineStr">
        <is>
          <t>candidate</t>
        </is>
      </c>
      <c r="K91" t="inlineStr">
        <is>
          <t>Low</t>
        </is>
      </c>
      <c r="L91" t="inlineStr">
        <is>
          <t>dlp/2024/toy-story-aliens-june-2024/alien-as-woody-and-jessie</t>
        </is>
      </c>
    </row>
    <row r="92">
      <c r="A92" t="inlineStr">
        <is>
          <t>PHS-0014</t>
        </is>
      </c>
      <c r="B92" t="n">
        <v>1</v>
      </c>
      <c r="C92" t="inlineStr">
        <is>
          <t>Aurora</t>
        </is>
      </c>
      <c r="D92" t="inlineStr">
        <is>
          <t>Aurora – Disney Princess pins (June 2024)</t>
        </is>
      </c>
      <c r="E92" t="inlineStr"/>
      <c r="F92" t="inlineStr"/>
      <c r="G92" t="inlineStr">
        <is>
          <t>N</t>
        </is>
      </c>
      <c r="H92" t="inlineStr"/>
      <c r="I92" t="inlineStr">
        <is>
          <t>none</t>
        </is>
      </c>
      <c r="J92" t="inlineStr">
        <is>
          <t>candidate</t>
        </is>
      </c>
      <c r="K92" t="inlineStr">
        <is>
          <t>Low</t>
        </is>
      </c>
      <c r="L92" t="inlineStr">
        <is>
          <t>dlp/2024/disney-princess-june-2024/aurora</t>
        </is>
      </c>
    </row>
    <row r="93">
      <c r="A93" t="inlineStr">
        <is>
          <t>PHS-0014</t>
        </is>
      </c>
      <c r="B93" t="n">
        <v>2</v>
      </c>
      <c r="C93" t="inlineStr">
        <is>
          <t>Cinderella</t>
        </is>
      </c>
      <c r="D93" t="inlineStr">
        <is>
          <t>Cinderella – Disney Princess pins (June 2024)</t>
        </is>
      </c>
      <c r="E93" t="inlineStr"/>
      <c r="F93" t="inlineStr"/>
      <c r="G93" t="inlineStr">
        <is>
          <t>N</t>
        </is>
      </c>
      <c r="H93" t="inlineStr"/>
      <c r="I93" t="inlineStr">
        <is>
          <t>none</t>
        </is>
      </c>
      <c r="J93" t="inlineStr">
        <is>
          <t>candidate</t>
        </is>
      </c>
      <c r="K93" t="inlineStr">
        <is>
          <t>Low</t>
        </is>
      </c>
      <c r="L93" t="inlineStr">
        <is>
          <t>dlp/2024/disney-princess-june-2024/cinderella</t>
        </is>
      </c>
    </row>
    <row r="94">
      <c r="A94" t="inlineStr">
        <is>
          <t>PHS-0014</t>
        </is>
      </c>
      <c r="B94" t="n">
        <v>3</v>
      </c>
      <c r="C94" t="inlineStr">
        <is>
          <t>Jasmine</t>
        </is>
      </c>
      <c r="D94" t="inlineStr">
        <is>
          <t>Jasmine – Disney Princess pins (June 2024)</t>
        </is>
      </c>
      <c r="E94" t="inlineStr"/>
      <c r="F94" t="inlineStr"/>
      <c r="G94" t="inlineStr">
        <is>
          <t>N</t>
        </is>
      </c>
      <c r="H94" t="inlineStr"/>
      <c r="I94" t="inlineStr">
        <is>
          <t>none</t>
        </is>
      </c>
      <c r="J94" t="inlineStr">
        <is>
          <t>candidate</t>
        </is>
      </c>
      <c r="K94" t="inlineStr">
        <is>
          <t>Low</t>
        </is>
      </c>
      <c r="L94" t="inlineStr">
        <is>
          <t>dlp/2024/disney-princess-june-2024/jasmine</t>
        </is>
      </c>
    </row>
    <row r="95">
      <c r="A95" t="inlineStr">
        <is>
          <t>PHS-0014</t>
        </is>
      </c>
      <c r="B95" t="n">
        <v>4</v>
      </c>
      <c r="C95" t="inlineStr">
        <is>
          <t>Pocahontas</t>
        </is>
      </c>
      <c r="D95" t="inlineStr">
        <is>
          <t>Pocahontas – Disney Princess pins (June 2024)</t>
        </is>
      </c>
      <c r="E95" t="inlineStr"/>
      <c r="F95" t="inlineStr"/>
      <c r="G95" t="inlineStr">
        <is>
          <t>N</t>
        </is>
      </c>
      <c r="H95" t="inlineStr"/>
      <c r="I95" t="inlineStr">
        <is>
          <t>none</t>
        </is>
      </c>
      <c r="J95" t="inlineStr">
        <is>
          <t>candidate</t>
        </is>
      </c>
      <c r="K95" t="inlineStr">
        <is>
          <t>Low</t>
        </is>
      </c>
      <c r="L95" t="inlineStr">
        <is>
          <t>dlp/2024/disney-princess-june-2024/pocahontas</t>
        </is>
      </c>
    </row>
    <row r="96">
      <c r="A96" t="inlineStr">
        <is>
          <t>PHS-0014</t>
        </is>
      </c>
      <c r="B96" t="n">
        <v>5</v>
      </c>
      <c r="C96" t="inlineStr">
        <is>
          <t>Snow White</t>
        </is>
      </c>
      <c r="D96" t="inlineStr">
        <is>
          <t>Snow White – Disney Princess pins (June 2024)</t>
        </is>
      </c>
      <c r="E96" t="inlineStr"/>
      <c r="F96" t="inlineStr"/>
      <c r="G96" t="inlineStr">
        <is>
          <t>N</t>
        </is>
      </c>
      <c r="H96" t="inlineStr"/>
      <c r="I96" t="inlineStr">
        <is>
          <t>none</t>
        </is>
      </c>
      <c r="J96" t="inlineStr">
        <is>
          <t>candidate</t>
        </is>
      </c>
      <c r="K96" t="inlineStr">
        <is>
          <t>Low</t>
        </is>
      </c>
      <c r="L96" t="inlineStr">
        <is>
          <t>dlp/2024/disney-princess-june-2024/snow-white</t>
        </is>
      </c>
    </row>
    <row r="97">
      <c r="A97" t="inlineStr">
        <is>
          <t>PHS-0015</t>
        </is>
      </c>
      <c r="B97" t="n">
        <v>1</v>
      </c>
      <c r="C97" t="inlineStr">
        <is>
          <t>Judy Hopps; Stu Hopps</t>
        </is>
      </c>
      <c r="D97" t="inlineStr">
        <is>
          <t>Judy Hopps &amp; Stu Hopps – Father's Day 2024 pin (Judy and Stu Hopps)</t>
        </is>
      </c>
      <c r="E97" t="inlineStr"/>
      <c r="F97" t="n">
        <v>700</v>
      </c>
      <c r="G97" t="inlineStr">
        <is>
          <t>N</t>
        </is>
      </c>
      <c r="H97" t="inlineStr"/>
      <c r="I97" t="inlineStr">
        <is>
          <t>none</t>
        </is>
      </c>
      <c r="J97" t="inlineStr">
        <is>
          <t>candidate</t>
        </is>
      </c>
      <c r="K97" t="inlineStr">
        <is>
          <t>Low</t>
        </is>
      </c>
      <c r="L97" t="inlineStr">
        <is>
          <t>dlp/2024/fathers-day-2024-judy-stu-hopps/judy-and-stu-hopps</t>
        </is>
      </c>
    </row>
    <row r="98">
      <c r="A98" t="inlineStr">
        <is>
          <t>PHS-0016</t>
        </is>
      </c>
      <c r="B98" t="n">
        <v>1</v>
      </c>
      <c r="C98" t="inlineStr">
        <is>
          <t>King of Hearts</t>
        </is>
      </c>
      <c r="D98" t="inlineStr">
        <is>
          <t>King of Hearts – Tinker Bell and King of Hearts pins (June 22)</t>
        </is>
      </c>
      <c r="E98" t="inlineStr"/>
      <c r="F98" t="inlineStr"/>
      <c r="G98" t="inlineStr">
        <is>
          <t>N</t>
        </is>
      </c>
      <c r="H98" t="inlineStr"/>
      <c r="I98" t="inlineStr">
        <is>
          <t>none</t>
        </is>
      </c>
      <c r="J98" t="inlineStr">
        <is>
          <t>candidate</t>
        </is>
      </c>
      <c r="K98" t="inlineStr">
        <is>
          <t>Low</t>
        </is>
      </c>
      <c r="L98" t="inlineStr">
        <is>
          <t>dlp/2024/tinker-bell-king-of-hearts-june-2024/king-of-hearts</t>
        </is>
      </c>
    </row>
    <row r="99">
      <c r="A99" t="inlineStr">
        <is>
          <t>PHS-0016</t>
        </is>
      </c>
      <c r="B99" t="n">
        <v>2</v>
      </c>
      <c r="C99" t="inlineStr">
        <is>
          <t>Tinker Bell</t>
        </is>
      </c>
      <c r="D99" t="inlineStr">
        <is>
          <t>Tinker Bell – Tinker Bell and King of Hearts pins (June 22)</t>
        </is>
      </c>
      <c r="E99" t="inlineStr"/>
      <c r="F99" t="inlineStr"/>
      <c r="G99" t="inlineStr">
        <is>
          <t>N</t>
        </is>
      </c>
      <c r="H99" t="inlineStr"/>
      <c r="I99" t="inlineStr">
        <is>
          <t>none</t>
        </is>
      </c>
      <c r="J99" t="inlineStr">
        <is>
          <t>candidate</t>
        </is>
      </c>
      <c r="K99" t="inlineStr">
        <is>
          <t>Low</t>
        </is>
      </c>
      <c r="L99" t="inlineStr">
        <is>
          <t>dlp/2024/tinker-bell-king-of-hearts-june-2024/tinker-bell</t>
        </is>
      </c>
    </row>
    <row r="100">
      <c r="A100" t="inlineStr">
        <is>
          <t>PHS-0017</t>
        </is>
      </c>
      <c r="B100" t="n">
        <v>1</v>
      </c>
      <c r="C100" t="inlineStr">
        <is>
          <t>Mickey Mouse</t>
        </is>
      </c>
      <c r="D100" t="inlineStr">
        <is>
          <t>Mickey Mouse – 2024 summer sports merchandise - Mickey gold medal pin</t>
        </is>
      </c>
      <c r="E100" t="inlineStr"/>
      <c r="F100" t="inlineStr"/>
      <c r="G100" t="inlineStr">
        <is>
          <t>N</t>
        </is>
      </c>
      <c r="H100" t="inlineStr"/>
      <c r="I100" t="inlineStr">
        <is>
          <t>none</t>
        </is>
      </c>
      <c r="J100" t="inlineStr">
        <is>
          <t>candidate</t>
        </is>
      </c>
      <c r="K100" t="inlineStr">
        <is>
          <t>Medium</t>
        </is>
      </c>
      <c r="L100" t="inlineStr">
        <is>
          <t>dlp/2024/summer-games-2024-gold-medal-mickey/mickey-gold-medal-2024</t>
        </is>
      </c>
    </row>
    <row r="101">
      <c r="A101" t="inlineStr">
        <is>
          <t>PHS-0018</t>
        </is>
      </c>
      <c r="B101" t="n">
        <v>1</v>
      </c>
      <c r="C101" t="inlineStr"/>
      <c r="D101" t="inlineStr">
        <is>
          <t>Chez Remy</t>
        </is>
      </c>
      <c r="E101" t="inlineStr"/>
      <c r="F101" t="inlineStr"/>
      <c r="G101" t="inlineStr">
        <is>
          <t>N</t>
        </is>
      </c>
      <c r="H101" t="inlineStr"/>
      <c r="I101" t="inlineStr">
        <is>
          <t>none</t>
        </is>
      </c>
      <c r="J101" t="inlineStr">
        <is>
          <t>candidate</t>
        </is>
      </c>
      <c r="K101" t="inlineStr">
        <is>
          <t>Low</t>
        </is>
      </c>
      <c r="L101" t="inlineStr">
        <is>
          <t>dlp/2024/ratatouille-july-2024/chez-remy</t>
        </is>
      </c>
    </row>
    <row r="102">
      <c r="A102" t="inlineStr">
        <is>
          <t>PHS-0019</t>
        </is>
      </c>
      <c r="B102" t="n">
        <v>1</v>
      </c>
      <c r="C102" t="inlineStr">
        <is>
          <t>March Hare</t>
        </is>
      </c>
      <c r="D102" t="inlineStr">
        <is>
          <t>March Hare – March Hare LE 700 (July 2024)</t>
        </is>
      </c>
      <c r="E102" t="inlineStr"/>
      <c r="F102" t="inlineStr"/>
      <c r="G102" t="inlineStr">
        <is>
          <t>N</t>
        </is>
      </c>
      <c r="H102" t="inlineStr"/>
      <c r="I102" t="inlineStr">
        <is>
          <t>none</t>
        </is>
      </c>
      <c r="J102" t="inlineStr">
        <is>
          <t>candidate</t>
        </is>
      </c>
      <c r="K102" t="inlineStr">
        <is>
          <t>Low</t>
        </is>
      </c>
      <c r="L102" t="inlineStr">
        <is>
          <t>dlp/2024/march-hare-le-700-july-2024/march-hare</t>
        </is>
      </c>
    </row>
    <row r="103">
      <c r="A103" t="inlineStr">
        <is>
          <t>PHS-0020</t>
        </is>
      </c>
      <c r="B103" t="n">
        <v>1</v>
      </c>
      <c r="C103" t="inlineStr">
        <is>
          <t>Belle</t>
        </is>
      </c>
      <c r="D103" t="inlineStr">
        <is>
          <t>Belle – Beauty and the Beast pins and lanyard (August 10)</t>
        </is>
      </c>
      <c r="E103" t="inlineStr"/>
      <c r="F103" t="inlineStr"/>
      <c r="G103" t="inlineStr">
        <is>
          <t>N</t>
        </is>
      </c>
      <c r="H103" t="inlineStr"/>
      <c r="I103" t="inlineStr">
        <is>
          <t>none</t>
        </is>
      </c>
      <c r="J103" t="inlineStr">
        <is>
          <t>candidate</t>
        </is>
      </c>
      <c r="K103" t="inlineStr">
        <is>
          <t>Low</t>
        </is>
      </c>
      <c r="L103" t="inlineStr">
        <is>
          <t>dlp/2024/beauty-and-the-beast-august-2024/belle</t>
        </is>
      </c>
    </row>
    <row r="104">
      <c r="A104" t="inlineStr">
        <is>
          <t>PHS-0020</t>
        </is>
      </c>
      <c r="B104" t="n">
        <v>2</v>
      </c>
      <c r="C104" t="inlineStr">
        <is>
          <t>Cogsworth</t>
        </is>
      </c>
      <c r="D104" t="inlineStr">
        <is>
          <t>Cogsworth – Beauty and the Beast pins and lanyard (August 10)</t>
        </is>
      </c>
      <c r="E104" t="inlineStr"/>
      <c r="F104" t="inlineStr"/>
      <c r="G104" t="inlineStr">
        <is>
          <t>N</t>
        </is>
      </c>
      <c r="H104" t="inlineStr"/>
      <c r="I104" t="inlineStr">
        <is>
          <t>none</t>
        </is>
      </c>
      <c r="J104" t="inlineStr">
        <is>
          <t>candidate</t>
        </is>
      </c>
      <c r="K104" t="inlineStr">
        <is>
          <t>Low</t>
        </is>
      </c>
      <c r="L104" t="inlineStr">
        <is>
          <t>dlp/2024/beauty-and-the-beast-august-2024/cogsworth</t>
        </is>
      </c>
    </row>
    <row r="105">
      <c r="A105" t="inlineStr">
        <is>
          <t>PHS-0020</t>
        </is>
      </c>
      <c r="B105" t="n">
        <v>3</v>
      </c>
      <c r="C105" t="inlineStr">
        <is>
          <t>Lumiere</t>
        </is>
      </c>
      <c r="D105" t="inlineStr">
        <is>
          <t>Lumiere – Beauty and the Beast pins and lanyard (August 10)</t>
        </is>
      </c>
      <c r="E105" t="inlineStr"/>
      <c r="F105" t="inlineStr"/>
      <c r="G105" t="inlineStr">
        <is>
          <t>N</t>
        </is>
      </c>
      <c r="H105" t="inlineStr"/>
      <c r="I105" t="inlineStr">
        <is>
          <t>none</t>
        </is>
      </c>
      <c r="J105" t="inlineStr">
        <is>
          <t>candidate</t>
        </is>
      </c>
      <c r="K105" t="inlineStr">
        <is>
          <t>Low</t>
        </is>
      </c>
      <c r="L105" t="inlineStr">
        <is>
          <t>dlp/2024/beauty-and-the-beast-august-2024/lumiere</t>
        </is>
      </c>
    </row>
    <row r="106">
      <c r="A106" t="inlineStr">
        <is>
          <t>PHS-0020</t>
        </is>
      </c>
      <c r="B106" t="n">
        <v>4</v>
      </c>
      <c r="C106" t="inlineStr">
        <is>
          <t>Chip; Mrs. Potts</t>
        </is>
      </c>
      <c r="D106" t="inlineStr">
        <is>
          <t>Chip &amp; Mrs. Potts – Beauty and the Beast pins and lanyard (August 10)</t>
        </is>
      </c>
      <c r="E106" t="inlineStr"/>
      <c r="F106" t="inlineStr"/>
      <c r="G106" t="inlineStr">
        <is>
          <t>N</t>
        </is>
      </c>
      <c r="H106" t="inlineStr"/>
      <c r="I106" t="inlineStr">
        <is>
          <t>none</t>
        </is>
      </c>
      <c r="J106" t="inlineStr">
        <is>
          <t>candidate</t>
        </is>
      </c>
      <c r="K106" t="inlineStr">
        <is>
          <t>Low</t>
        </is>
      </c>
      <c r="L106" t="inlineStr">
        <is>
          <t>dlp/2024/beauty-and-the-beast-august-2024/mrs-potts-and-chip</t>
        </is>
      </c>
    </row>
    <row r="107">
      <c r="A107" t="inlineStr">
        <is>
          <t>PHS-0021</t>
        </is>
      </c>
      <c r="B107" t="n">
        <v>1</v>
      </c>
      <c r="C107" t="inlineStr">
        <is>
          <t>Chip; Dale</t>
        </is>
      </c>
      <c r="D107" t="inlineStr">
        <is>
          <t>Chip &amp; Dale – Characters with balloons (August 17)</t>
        </is>
      </c>
      <c r="E107" t="inlineStr"/>
      <c r="F107" t="inlineStr"/>
      <c r="G107" t="inlineStr">
        <is>
          <t>N</t>
        </is>
      </c>
      <c r="H107" t="inlineStr"/>
      <c r="I107" t="inlineStr">
        <is>
          <t>none</t>
        </is>
      </c>
      <c r="J107" t="inlineStr">
        <is>
          <t>candidate</t>
        </is>
      </c>
      <c r="K107" t="inlineStr">
        <is>
          <t>Low</t>
        </is>
      </c>
      <c r="L107" t="inlineStr">
        <is>
          <t>dlp/2024/balloons-august-2024/chip-and-dale</t>
        </is>
      </c>
    </row>
    <row r="108">
      <c r="A108" t="inlineStr">
        <is>
          <t>PHS-0021</t>
        </is>
      </c>
      <c r="B108" t="n">
        <v>2</v>
      </c>
      <c r="C108" t="inlineStr">
        <is>
          <t>Olaf</t>
        </is>
      </c>
      <c r="D108" t="inlineStr">
        <is>
          <t>Olaf – Characters with balloons (August 17)</t>
        </is>
      </c>
      <c r="E108" t="inlineStr"/>
      <c r="F108" t="inlineStr"/>
      <c r="G108" t="inlineStr">
        <is>
          <t>N</t>
        </is>
      </c>
      <c r="H108" t="inlineStr"/>
      <c r="I108" t="inlineStr">
        <is>
          <t>none</t>
        </is>
      </c>
      <c r="J108" t="inlineStr">
        <is>
          <t>candidate</t>
        </is>
      </c>
      <c r="K108" t="inlineStr">
        <is>
          <t>Low</t>
        </is>
      </c>
      <c r="L108" t="inlineStr">
        <is>
          <t>dlp/2024/balloons-august-2024/olaf</t>
        </is>
      </c>
    </row>
    <row r="109">
      <c r="A109" t="inlineStr">
        <is>
          <t>PHS-0021</t>
        </is>
      </c>
      <c r="B109" t="n">
        <v>3</v>
      </c>
      <c r="C109" t="inlineStr">
        <is>
          <t>Pascal</t>
        </is>
      </c>
      <c r="D109" t="inlineStr">
        <is>
          <t>Pascal – Characters with balloons (August 17)</t>
        </is>
      </c>
      <c r="E109" t="inlineStr"/>
      <c r="F109" t="inlineStr"/>
      <c r="G109" t="inlineStr">
        <is>
          <t>N</t>
        </is>
      </c>
      <c r="H109" t="inlineStr"/>
      <c r="I109" t="inlineStr">
        <is>
          <t>none</t>
        </is>
      </c>
      <c r="J109" t="inlineStr">
        <is>
          <t>candidate</t>
        </is>
      </c>
      <c r="K109" t="inlineStr">
        <is>
          <t>Medium</t>
        </is>
      </c>
      <c r="L109" t="inlineStr">
        <is>
          <t>dlp/2024/balloons-august-2024/pascal</t>
        </is>
      </c>
    </row>
    <row r="110">
      <c r="A110" t="inlineStr">
        <is>
          <t>PHS-0021</t>
        </is>
      </c>
      <c r="B110" t="n">
        <v>4</v>
      </c>
      <c r="C110" t="inlineStr">
        <is>
          <t>Stitch</t>
        </is>
      </c>
      <c r="D110" t="inlineStr">
        <is>
          <t>Stitch – Characters with balloons (August 17)</t>
        </is>
      </c>
      <c r="E110" t="inlineStr"/>
      <c r="F110" t="inlineStr"/>
      <c r="G110" t="inlineStr">
        <is>
          <t>N</t>
        </is>
      </c>
      <c r="H110" t="inlineStr"/>
      <c r="I110" t="inlineStr">
        <is>
          <t>none</t>
        </is>
      </c>
      <c r="J110" t="inlineStr">
        <is>
          <t>candidate</t>
        </is>
      </c>
      <c r="K110" t="inlineStr">
        <is>
          <t>Low</t>
        </is>
      </c>
      <c r="L110" t="inlineStr">
        <is>
          <t>dlp/2024/balloons-august-2024/stitch</t>
        </is>
      </c>
    </row>
    <row r="111">
      <c r="A111" t="inlineStr">
        <is>
          <t>PHS-0022</t>
        </is>
      </c>
      <c r="B111" t="n">
        <v>1</v>
      </c>
      <c r="C111" t="inlineStr">
        <is>
          <t>Kuzco</t>
        </is>
      </c>
      <c r="D111" t="inlineStr">
        <is>
          <t>Kuzco – Pin Trading Time August 2024 surprise pins (The Emperor's New Groove)</t>
        </is>
      </c>
      <c r="E111" t="inlineStr"/>
      <c r="F111" t="n">
        <v>400</v>
      </c>
      <c r="G111" t="inlineStr">
        <is>
          <t>N</t>
        </is>
      </c>
      <c r="H111" t="inlineStr"/>
      <c r="I111" t="inlineStr">
        <is>
          <t>none</t>
        </is>
      </c>
      <c r="J111" t="inlineStr">
        <is>
          <t>candidate</t>
        </is>
      </c>
      <c r="K111" t="inlineStr">
        <is>
          <t>Medium</t>
        </is>
      </c>
      <c r="L111" t="inlineStr">
        <is>
          <t>dlp/2024/pin-trading-time-august-2024-emperors-new-groove/kuzco</t>
        </is>
      </c>
    </row>
    <row r="112">
      <c r="A112" t="inlineStr">
        <is>
          <t>PHS-0023</t>
        </is>
      </c>
      <c r="B112" t="n">
        <v>1</v>
      </c>
      <c r="C112" t="inlineStr">
        <is>
          <t>Miguel</t>
        </is>
      </c>
      <c r="D112" t="inlineStr">
        <is>
          <t>Miguel – Pin Trading Time August 2024 refresher pin (Miguel)</t>
        </is>
      </c>
      <c r="E112" t="inlineStr"/>
      <c r="F112" t="inlineStr"/>
      <c r="G112" t="inlineStr">
        <is>
          <t>N</t>
        </is>
      </c>
      <c r="H112" t="inlineStr"/>
      <c r="I112" t="inlineStr">
        <is>
          <t>none</t>
        </is>
      </c>
      <c r="J112" t="inlineStr">
        <is>
          <t>candidate</t>
        </is>
      </c>
      <c r="K112" t="inlineStr">
        <is>
          <t>Low</t>
        </is>
      </c>
      <c r="L112" t="inlineStr">
        <is>
          <t>dlp/2024/pin-trading-time-august-2024-miguel-refresher/miguel</t>
        </is>
      </c>
    </row>
    <row r="113">
      <c r="A113" t="inlineStr">
        <is>
          <t>PHS-0024</t>
        </is>
      </c>
      <c r="B113" t="n">
        <v>1</v>
      </c>
      <c r="C113" t="inlineStr">
        <is>
          <t>Chip; Dale</t>
        </is>
      </c>
      <c r="D113" t="inlineStr">
        <is>
          <t>Chip &amp; Dale – Halloween 2024 pins (Disneyland Paris)</t>
        </is>
      </c>
      <c r="E113" t="inlineStr"/>
      <c r="F113" t="inlineStr"/>
      <c r="G113" t="inlineStr">
        <is>
          <t>N</t>
        </is>
      </c>
      <c r="H113" t="inlineStr"/>
      <c r="I113" t="inlineStr">
        <is>
          <t>none</t>
        </is>
      </c>
      <c r="J113" t="inlineStr">
        <is>
          <t>candidate</t>
        </is>
      </c>
      <c r="K113" t="inlineStr">
        <is>
          <t>Low</t>
        </is>
      </c>
      <c r="L113" t="inlineStr">
        <is>
          <t>dlp/2024/halloween-2024/chip-and-dale</t>
        </is>
      </c>
    </row>
    <row r="114">
      <c r="A114" t="inlineStr">
        <is>
          <t>PHS-0024</t>
        </is>
      </c>
      <c r="B114" t="n">
        <v>2</v>
      </c>
      <c r="C114" t="inlineStr">
        <is>
          <t>Lucifer</t>
        </is>
      </c>
      <c r="D114" t="inlineStr">
        <is>
          <t>Lucifer – Halloween 2024 pins (Disneyland Paris)</t>
        </is>
      </c>
      <c r="E114" t="inlineStr"/>
      <c r="F114" t="inlineStr"/>
      <c r="G114" t="inlineStr">
        <is>
          <t>N</t>
        </is>
      </c>
      <c r="H114" t="inlineStr"/>
      <c r="I114" t="inlineStr">
        <is>
          <t>none</t>
        </is>
      </c>
      <c r="J114" t="inlineStr">
        <is>
          <t>candidate</t>
        </is>
      </c>
      <c r="K114" t="inlineStr">
        <is>
          <t>Low</t>
        </is>
      </c>
      <c r="L114" t="inlineStr">
        <is>
          <t>dlp/2024/halloween-2024/lucifer-on-broom</t>
        </is>
      </c>
    </row>
    <row r="115">
      <c r="A115" t="inlineStr">
        <is>
          <t>PHS-0024</t>
        </is>
      </c>
      <c r="B115" t="n">
        <v>3</v>
      </c>
      <c r="C115" t="inlineStr">
        <is>
          <t>Mickey Mouse</t>
        </is>
      </c>
      <c r="D115" t="inlineStr">
        <is>
          <t>Mickey Mouse – Halloween 2024 pins (Disneyland Paris)</t>
        </is>
      </c>
      <c r="E115" t="inlineStr"/>
      <c r="F115" t="inlineStr"/>
      <c r="G115" t="inlineStr">
        <is>
          <t>N</t>
        </is>
      </c>
      <c r="H115" t="inlineStr"/>
      <c r="I115" t="inlineStr">
        <is>
          <t>none</t>
        </is>
      </c>
      <c r="J115" t="inlineStr">
        <is>
          <t>candidate</t>
        </is>
      </c>
      <c r="K115" t="inlineStr">
        <is>
          <t>Low</t>
        </is>
      </c>
      <c r="L115" t="inlineStr">
        <is>
          <t>dlp/2024/halloween-2024/mickey</t>
        </is>
      </c>
    </row>
    <row r="116">
      <c r="A116" t="inlineStr">
        <is>
          <t>PHS-0024</t>
        </is>
      </c>
      <c r="B116" t="n">
        <v>4</v>
      </c>
      <c r="C116" t="inlineStr">
        <is>
          <t>Pascal</t>
        </is>
      </c>
      <c r="D116" t="inlineStr">
        <is>
          <t>Pascal – Halloween 2024 pins (Disneyland Paris)</t>
        </is>
      </c>
      <c r="E116" t="inlineStr"/>
      <c r="F116" t="inlineStr"/>
      <c r="G116" t="inlineStr">
        <is>
          <t>N</t>
        </is>
      </c>
      <c r="H116" t="inlineStr"/>
      <c r="I116" t="inlineStr">
        <is>
          <t>none</t>
        </is>
      </c>
      <c r="J116" t="inlineStr">
        <is>
          <t>candidate</t>
        </is>
      </c>
      <c r="K116" t="inlineStr">
        <is>
          <t>Low</t>
        </is>
      </c>
      <c r="L116" t="inlineStr">
        <is>
          <t>dlp/2024/halloween-2024/pascal-on-broom</t>
        </is>
      </c>
    </row>
    <row r="117">
      <c r="A117" t="inlineStr">
        <is>
          <t>PHS-0024</t>
        </is>
      </c>
      <c r="B117" t="n">
        <v>5</v>
      </c>
      <c r="C117" t="inlineStr">
        <is>
          <t>Stitch</t>
        </is>
      </c>
      <c r="D117" t="inlineStr">
        <is>
          <t>Stitch – Halloween 2024 pins (Disneyland Paris)</t>
        </is>
      </c>
      <c r="E117" t="inlineStr"/>
      <c r="F117" t="inlineStr"/>
      <c r="G117" t="inlineStr">
        <is>
          <t>N</t>
        </is>
      </c>
      <c r="H117" t="inlineStr"/>
      <c r="I117" t="inlineStr">
        <is>
          <t>none</t>
        </is>
      </c>
      <c r="J117" t="inlineStr">
        <is>
          <t>candidate</t>
        </is>
      </c>
      <c r="K117" t="inlineStr">
        <is>
          <t>Low</t>
        </is>
      </c>
      <c r="L117" t="inlineStr">
        <is>
          <t>dlp/2024/halloween-2024/stitch-on-broom</t>
        </is>
      </c>
    </row>
    <row r="118">
      <c r="A118" t="inlineStr">
        <is>
          <t>PHS-0025</t>
        </is>
      </c>
      <c r="B118" t="n">
        <v>1</v>
      </c>
      <c r="C118" t="inlineStr">
        <is>
          <t>Mickey Mouse</t>
        </is>
      </c>
      <c r="D118" t="inlineStr">
        <is>
          <t>Mickey Mouse – LE 700 Mickey; Minnie with Daisy (September 14)</t>
        </is>
      </c>
      <c r="E118" t="inlineStr"/>
      <c r="F118" t="inlineStr"/>
      <c r="G118" t="inlineStr">
        <is>
          <t>N</t>
        </is>
      </c>
      <c r="H118" t="inlineStr"/>
      <c r="I118" t="inlineStr">
        <is>
          <t>none</t>
        </is>
      </c>
      <c r="J118" t="inlineStr">
        <is>
          <t>candidate</t>
        </is>
      </c>
      <c r="K118" t="inlineStr">
        <is>
          <t>Low</t>
        </is>
      </c>
      <c r="L118" t="inlineStr">
        <is>
          <t>dlp/2024/le-700-mickey-minnie-daisy-september-2024/mickey</t>
        </is>
      </c>
    </row>
    <row r="119">
      <c r="A119" t="inlineStr">
        <is>
          <t>PHS-0025</t>
        </is>
      </c>
      <c r="B119" t="n">
        <v>2</v>
      </c>
      <c r="C119" t="inlineStr">
        <is>
          <t>Daisy Duck; Minnie Mouse</t>
        </is>
      </c>
      <c r="D119" t="inlineStr">
        <is>
          <t>Daisy Duck &amp; Minnie Mouse – LE 700 Mickey; Minnie with Daisy (September 14)</t>
        </is>
      </c>
      <c r="E119" t="inlineStr"/>
      <c r="F119" t="inlineStr"/>
      <c r="G119" t="inlineStr">
        <is>
          <t>N</t>
        </is>
      </c>
      <c r="H119" t="inlineStr"/>
      <c r="I119" t="inlineStr">
        <is>
          <t>none</t>
        </is>
      </c>
      <c r="J119" t="inlineStr">
        <is>
          <t>candidate</t>
        </is>
      </c>
      <c r="K119" t="inlineStr">
        <is>
          <t>Low</t>
        </is>
      </c>
      <c r="L119" t="inlineStr">
        <is>
          <t>dlp/2024/le-700-mickey-minnie-daisy-september-2024/minnie-with-daisy</t>
        </is>
      </c>
    </row>
    <row r="120">
      <c r="A120" t="inlineStr">
        <is>
          <t>PHS-0026</t>
        </is>
      </c>
      <c r="B120" t="n">
        <v>1</v>
      </c>
      <c r="C120" t="inlineStr">
        <is>
          <t>Tinker Bell</t>
        </is>
      </c>
      <c r="D120" t="inlineStr">
        <is>
          <t>TinkerBell 2024 autumn limited edition pin</t>
        </is>
      </c>
      <c r="E120" t="inlineStr"/>
      <c r="F120" t="inlineStr"/>
      <c r="G120" t="inlineStr">
        <is>
          <t>N</t>
        </is>
      </c>
      <c r="H120" t="inlineStr"/>
      <c r="I120" t="inlineStr">
        <is>
          <t>none</t>
        </is>
      </c>
      <c r="J120" t="inlineStr">
        <is>
          <t>candidate</t>
        </is>
      </c>
      <c r="K120" t="inlineStr">
        <is>
          <t>Medium</t>
        </is>
      </c>
      <c r="L120" t="inlineStr">
        <is>
          <t>dlp/2024/tinker-bell-autumn-le-700/tinker-bell-autumn</t>
        </is>
      </c>
    </row>
    <row r="121">
      <c r="A121" t="inlineStr">
        <is>
          <t>PHS-0027</t>
        </is>
      </c>
      <c r="B121" t="n">
        <v>1</v>
      </c>
      <c r="C121" t="inlineStr">
        <is>
          <t>Belle; Gaston</t>
        </is>
      </c>
      <c r="D121" t="inlineStr">
        <is>
          <t>Gaston &amp; Belle Pin</t>
        </is>
      </c>
      <c r="E121" t="inlineStr"/>
      <c r="F121" t="inlineStr"/>
      <c r="G121" t="inlineStr">
        <is>
          <t>N</t>
        </is>
      </c>
      <c r="H121" t="inlineStr"/>
      <c r="I121" t="inlineStr">
        <is>
          <t>none</t>
        </is>
      </c>
      <c r="J121" t="inlineStr">
        <is>
          <t>candidate</t>
        </is>
      </c>
      <c r="K121" t="inlineStr">
        <is>
          <t>Medium</t>
        </is>
      </c>
      <c r="L121" t="inlineStr">
        <is>
          <t>dlp/2024/gaston-and-belle-le-november-2024/gaston-and-belle</t>
        </is>
      </c>
    </row>
    <row r="122">
      <c r="A122" t="inlineStr">
        <is>
          <t>PHS-0028</t>
        </is>
      </c>
      <c r="B122" t="n">
        <v>1</v>
      </c>
      <c r="C122" t="inlineStr">
        <is>
          <t>Berlioz; Toulouse</t>
        </is>
      </c>
      <c r="D122" t="inlineStr">
        <is>
          <t>Berlioz &amp; Toulouse – The Aristocats open edition pins (November 16)</t>
        </is>
      </c>
      <c r="E122" t="inlineStr"/>
      <c r="F122" t="inlineStr"/>
      <c r="G122" t="inlineStr">
        <is>
          <t>N</t>
        </is>
      </c>
      <c r="H122" t="inlineStr"/>
      <c r="I122" t="inlineStr">
        <is>
          <t>none</t>
        </is>
      </c>
      <c r="J122" t="inlineStr">
        <is>
          <t>candidate</t>
        </is>
      </c>
      <c r="K122" t="inlineStr">
        <is>
          <t>Low</t>
        </is>
      </c>
      <c r="L122" t="inlineStr">
        <is>
          <t>dlp/2024/aristocats-oe-november-2024/berlioz-and-toulouse</t>
        </is>
      </c>
    </row>
    <row r="123">
      <c r="A123" t="inlineStr">
        <is>
          <t>PHS-0028</t>
        </is>
      </c>
      <c r="B123" t="n">
        <v>2</v>
      </c>
      <c r="C123" t="inlineStr">
        <is>
          <t>Duchess; Marie</t>
        </is>
      </c>
      <c r="D123" t="inlineStr">
        <is>
          <t>Duchess &amp; Marie – The Aristocats open edition pins (November 16)</t>
        </is>
      </c>
      <c r="E123" t="inlineStr"/>
      <c r="F123" t="inlineStr"/>
      <c r="G123" t="inlineStr">
        <is>
          <t>N</t>
        </is>
      </c>
      <c r="H123" t="inlineStr"/>
      <c r="I123" t="inlineStr">
        <is>
          <t>none</t>
        </is>
      </c>
      <c r="J123" t="inlineStr">
        <is>
          <t>candidate</t>
        </is>
      </c>
      <c r="K123" t="inlineStr">
        <is>
          <t>Low</t>
        </is>
      </c>
      <c r="L123" t="inlineStr">
        <is>
          <t>dlp/2024/aristocats-oe-november-2024/duchess-and-marie</t>
        </is>
      </c>
    </row>
    <row r="124">
      <c r="A124" t="inlineStr">
        <is>
          <t>PHS-0028</t>
        </is>
      </c>
      <c r="B124" t="n">
        <v>3</v>
      </c>
      <c r="C124" t="inlineStr">
        <is>
          <t>Duchess; Thomas O'Malley</t>
        </is>
      </c>
      <c r="D124" t="inlineStr">
        <is>
          <t>Duchess &amp; Thomas O'Malley – The Aristocats open edition pins (November 16)</t>
        </is>
      </c>
      <c r="E124" t="inlineStr"/>
      <c r="F124" t="inlineStr"/>
      <c r="G124" t="inlineStr">
        <is>
          <t>N</t>
        </is>
      </c>
      <c r="H124" t="inlineStr"/>
      <c r="I124" t="inlineStr">
        <is>
          <t>none</t>
        </is>
      </c>
      <c r="J124" t="inlineStr">
        <is>
          <t>candidate</t>
        </is>
      </c>
      <c r="K124" t="inlineStr">
        <is>
          <t>Low</t>
        </is>
      </c>
      <c r="L124" t="inlineStr">
        <is>
          <t>dlp/2024/aristocats-oe-november-2024/duchess-and-omalley</t>
        </is>
      </c>
    </row>
    <row r="125">
      <c r="A125" t="inlineStr">
        <is>
          <t>PHS-0028</t>
        </is>
      </c>
      <c r="B125" t="n">
        <v>4</v>
      </c>
      <c r="C125" t="inlineStr">
        <is>
          <t>Marie</t>
        </is>
      </c>
      <c r="D125" t="inlineStr">
        <is>
          <t>Marie – The Aristocats open edition pins (November 16)</t>
        </is>
      </c>
      <c r="E125" t="inlineStr"/>
      <c r="F125" t="inlineStr"/>
      <c r="G125" t="inlineStr">
        <is>
          <t>N</t>
        </is>
      </c>
      <c r="H125" t="inlineStr"/>
      <c r="I125" t="inlineStr">
        <is>
          <t>none</t>
        </is>
      </c>
      <c r="J125" t="inlineStr">
        <is>
          <t>candidate</t>
        </is>
      </c>
      <c r="K125" t="inlineStr">
        <is>
          <t>Low</t>
        </is>
      </c>
      <c r="L125" t="inlineStr">
        <is>
          <t>dlp/2024/aristocats-oe-november-2024/marie</t>
        </is>
      </c>
    </row>
    <row r="126">
      <c r="A126" t="inlineStr">
        <is>
          <t>PHS-0029</t>
        </is>
      </c>
      <c r="B126" t="n">
        <v>1</v>
      </c>
      <c r="C126" t="inlineStr">
        <is>
          <t>Chip; Dale</t>
        </is>
      </c>
      <c r="D126" t="inlineStr">
        <is>
          <t>Chip &amp; Dale – Happy Birthday cake pins (Mickey, Minnie, Donald, Daisy, Chip &amp; Dale)</t>
        </is>
      </c>
      <c r="E126" t="inlineStr"/>
      <c r="F126" t="n">
        <v>700</v>
      </c>
      <c r="G126" t="inlineStr">
        <is>
          <t>N</t>
        </is>
      </c>
      <c r="H126" t="inlineStr"/>
      <c r="I126" t="inlineStr">
        <is>
          <t>none</t>
        </is>
      </c>
      <c r="J126" t="inlineStr">
        <is>
          <t>candidate</t>
        </is>
      </c>
      <c r="K126" t="inlineStr">
        <is>
          <t>Low</t>
        </is>
      </c>
      <c r="L126" t="inlineStr">
        <is>
          <t>dlp/2024/happy-birthday-cakes-le-700/chip-and-dale</t>
        </is>
      </c>
    </row>
    <row r="127">
      <c r="A127" t="inlineStr">
        <is>
          <t>PHS-0029</t>
        </is>
      </c>
      <c r="B127" t="n">
        <v>2</v>
      </c>
      <c r="C127" t="inlineStr">
        <is>
          <t>Daisy Duck</t>
        </is>
      </c>
      <c r="D127" t="inlineStr">
        <is>
          <t>Daisy Duck – Happy Birthday cake pins (Mickey, Minnie, Donald, Daisy, Chip &amp; Dale)</t>
        </is>
      </c>
      <c r="E127" t="inlineStr"/>
      <c r="F127" t="n">
        <v>700</v>
      </c>
      <c r="G127" t="inlineStr">
        <is>
          <t>N</t>
        </is>
      </c>
      <c r="H127" t="inlineStr"/>
      <c r="I127" t="inlineStr">
        <is>
          <t>none</t>
        </is>
      </c>
      <c r="J127" t="inlineStr">
        <is>
          <t>candidate</t>
        </is>
      </c>
      <c r="K127" t="inlineStr">
        <is>
          <t>Low</t>
        </is>
      </c>
      <c r="L127" t="inlineStr">
        <is>
          <t>dlp/2024/happy-birthday-cakes-le-700/daisy</t>
        </is>
      </c>
    </row>
    <row r="128">
      <c r="A128" t="inlineStr">
        <is>
          <t>PHS-0029</t>
        </is>
      </c>
      <c r="B128" t="n">
        <v>3</v>
      </c>
      <c r="C128" t="inlineStr">
        <is>
          <t>Donald Duck</t>
        </is>
      </c>
      <c r="D128" t="inlineStr">
        <is>
          <t>Donald Duck – Happy Birthday cake pins (Mickey, Minnie, Donald, Daisy, Chip &amp; Dale)</t>
        </is>
      </c>
      <c r="E128" t="inlineStr"/>
      <c r="F128" t="n">
        <v>700</v>
      </c>
      <c r="G128" t="inlineStr">
        <is>
          <t>N</t>
        </is>
      </c>
      <c r="H128" t="inlineStr"/>
      <c r="I128" t="inlineStr">
        <is>
          <t>none</t>
        </is>
      </c>
      <c r="J128" t="inlineStr">
        <is>
          <t>candidate</t>
        </is>
      </c>
      <c r="K128" t="inlineStr">
        <is>
          <t>Low</t>
        </is>
      </c>
      <c r="L128" t="inlineStr">
        <is>
          <t>dlp/2024/happy-birthday-cakes-le-700/donald</t>
        </is>
      </c>
    </row>
    <row r="129">
      <c r="A129" t="inlineStr">
        <is>
          <t>PHS-0029</t>
        </is>
      </c>
      <c r="B129" t="n">
        <v>4</v>
      </c>
      <c r="C129" t="inlineStr">
        <is>
          <t>Mickey Mouse</t>
        </is>
      </c>
      <c r="D129" t="inlineStr">
        <is>
          <t>Mickey Mouse – Happy Birthday cake pins (Mickey, Minnie, Donald, Daisy, Chip &amp; Dale)</t>
        </is>
      </c>
      <c r="E129" t="inlineStr"/>
      <c r="F129" t="n">
        <v>700</v>
      </c>
      <c r="G129" t="inlineStr">
        <is>
          <t>N</t>
        </is>
      </c>
      <c r="H129" t="inlineStr"/>
      <c r="I129" t="inlineStr">
        <is>
          <t>none</t>
        </is>
      </c>
      <c r="J129" t="inlineStr">
        <is>
          <t>candidate</t>
        </is>
      </c>
      <c r="K129" t="inlineStr">
        <is>
          <t>Low</t>
        </is>
      </c>
      <c r="L129" t="inlineStr">
        <is>
          <t>dlp/2024/happy-birthday-cakes-le-700/mickey</t>
        </is>
      </c>
    </row>
    <row r="130">
      <c r="A130" t="inlineStr">
        <is>
          <t>PHS-0029</t>
        </is>
      </c>
      <c r="B130" t="n">
        <v>5</v>
      </c>
      <c r="C130" t="inlineStr">
        <is>
          <t>Minnie Mouse</t>
        </is>
      </c>
      <c r="D130" t="inlineStr">
        <is>
          <t>Minnie Mouse – Happy Birthday cake pins (Mickey, Minnie, Donald, Daisy, Chip &amp; Dale)</t>
        </is>
      </c>
      <c r="E130" t="inlineStr"/>
      <c r="F130" t="n">
        <v>700</v>
      </c>
      <c r="G130" t="inlineStr">
        <is>
          <t>N</t>
        </is>
      </c>
      <c r="H130" t="inlineStr"/>
      <c r="I130" t="inlineStr">
        <is>
          <t>none</t>
        </is>
      </c>
      <c r="J130" t="inlineStr">
        <is>
          <t>candidate</t>
        </is>
      </c>
      <c r="K130" t="inlineStr">
        <is>
          <t>Low</t>
        </is>
      </c>
      <c r="L130" t="inlineStr">
        <is>
          <t>dlp/2024/happy-birthday-cakes-le-700/minnie</t>
        </is>
      </c>
    </row>
    <row r="131">
      <c r="A131" t="inlineStr">
        <is>
          <t>PHS-0030</t>
        </is>
      </c>
      <c r="B131" t="n">
        <v>1</v>
      </c>
      <c r="C131" t="inlineStr">
        <is>
          <t>Ariel; Eric; Prince Eric</t>
        </is>
      </c>
      <c r="D131" t="inlineStr">
        <is>
          <t>Ariel &amp; Eric &amp; Prince Eric – Ariel and Eric LE (November 23)</t>
        </is>
      </c>
      <c r="E131" t="inlineStr"/>
      <c r="F131" t="inlineStr"/>
      <c r="G131" t="inlineStr">
        <is>
          <t>N</t>
        </is>
      </c>
      <c r="H131" t="inlineStr"/>
      <c r="I131" t="inlineStr">
        <is>
          <t>none</t>
        </is>
      </c>
      <c r="J131" t="inlineStr">
        <is>
          <t>candidate</t>
        </is>
      </c>
      <c r="K131" t="inlineStr">
        <is>
          <t>Medium</t>
        </is>
      </c>
      <c r="L131" t="inlineStr">
        <is>
          <t>dlp/2024/ariel-and-eric-le-november-2024/ariel-and-eric</t>
        </is>
      </c>
    </row>
    <row r="132">
      <c r="A132" t="inlineStr">
        <is>
          <t>PHS-0031</t>
        </is>
      </c>
      <c r="B132" t="n">
        <v>1</v>
      </c>
      <c r="C132" t="inlineStr">
        <is>
          <t>Eeyore</t>
        </is>
      </c>
      <c r="D132" t="inlineStr">
        <is>
          <t>Eeyore – Christmas 2024 Winnie the Pooh open edition pins</t>
        </is>
      </c>
      <c r="E132" t="inlineStr"/>
      <c r="F132" t="inlineStr"/>
      <c r="G132" t="inlineStr">
        <is>
          <t>N</t>
        </is>
      </c>
      <c r="H132" t="inlineStr"/>
      <c r="I132" t="inlineStr">
        <is>
          <t>none</t>
        </is>
      </c>
      <c r="J132" t="inlineStr">
        <is>
          <t>candidate</t>
        </is>
      </c>
      <c r="K132" t="inlineStr">
        <is>
          <t>Medium</t>
        </is>
      </c>
      <c r="L132" t="inlineStr">
        <is>
          <t>dlp/2024/christmas-2024-pooh-oe/eeyore</t>
        </is>
      </c>
    </row>
    <row r="133">
      <c r="A133" t="inlineStr">
        <is>
          <t>PHS-0031</t>
        </is>
      </c>
      <c r="B133" t="n">
        <v>2</v>
      </c>
      <c r="C133" t="inlineStr">
        <is>
          <t>Winnie the Pooh</t>
        </is>
      </c>
      <c r="D133" t="inlineStr">
        <is>
          <t>Winnie the Pooh – Christmas 2024 Winnie the Pooh open edition pins</t>
        </is>
      </c>
      <c r="E133" t="inlineStr"/>
      <c r="F133" t="inlineStr"/>
      <c r="G133" t="inlineStr">
        <is>
          <t>N</t>
        </is>
      </c>
      <c r="H133" t="inlineStr"/>
      <c r="I133" t="inlineStr">
        <is>
          <t>none</t>
        </is>
      </c>
      <c r="J133" t="inlineStr">
        <is>
          <t>candidate</t>
        </is>
      </c>
      <c r="K133" t="inlineStr">
        <is>
          <t>Medium</t>
        </is>
      </c>
      <c r="L133" t="inlineStr">
        <is>
          <t>dlp/2024/christmas-2024-pooh-oe/pooh</t>
        </is>
      </c>
    </row>
    <row r="134">
      <c r="A134" t="inlineStr">
        <is>
          <t>PHS-0031</t>
        </is>
      </c>
      <c r="B134" t="n">
        <v>3</v>
      </c>
      <c r="C134" t="inlineStr">
        <is>
          <t>Piglet; Winnie the Pooh</t>
        </is>
      </c>
      <c r="D134" t="inlineStr">
        <is>
          <t>Piglet &amp; Winnie the Pooh – Christmas 2024 Winnie the Pooh open edition pins</t>
        </is>
      </c>
      <c r="E134" t="inlineStr"/>
      <c r="F134" t="inlineStr"/>
      <c r="G134" t="inlineStr">
        <is>
          <t>N</t>
        </is>
      </c>
      <c r="H134" t="inlineStr"/>
      <c r="I134" t="inlineStr">
        <is>
          <t>none</t>
        </is>
      </c>
      <c r="J134" t="inlineStr">
        <is>
          <t>candidate</t>
        </is>
      </c>
      <c r="K134" t="inlineStr">
        <is>
          <t>Low</t>
        </is>
      </c>
      <c r="L134" t="inlineStr">
        <is>
          <t>dlp/2024/christmas-2024-pooh-oe/pooh-with-piglet</t>
        </is>
      </c>
    </row>
    <row r="135">
      <c r="A135" t="inlineStr">
        <is>
          <t>PHS-0031</t>
        </is>
      </c>
      <c r="B135" t="n">
        <v>4</v>
      </c>
      <c r="C135" t="inlineStr">
        <is>
          <t>Tigger</t>
        </is>
      </c>
      <c r="D135" t="inlineStr">
        <is>
          <t>Tigger – Christmas 2024 Winnie the Pooh open edition pins</t>
        </is>
      </c>
      <c r="E135" t="inlineStr"/>
      <c r="F135" t="inlineStr"/>
      <c r="G135" t="inlineStr">
        <is>
          <t>N</t>
        </is>
      </c>
      <c r="H135" t="inlineStr"/>
      <c r="I135" t="inlineStr">
        <is>
          <t>none</t>
        </is>
      </c>
      <c r="J135" t="inlineStr">
        <is>
          <t>candidate</t>
        </is>
      </c>
      <c r="K135" t="inlineStr">
        <is>
          <t>Medium</t>
        </is>
      </c>
      <c r="L135" t="inlineStr">
        <is>
          <t>dlp/2024/christmas-2024-pooh-oe/tigger</t>
        </is>
      </c>
    </row>
    <row r="136">
      <c r="A136" t="inlineStr">
        <is>
          <t>PHS-0032</t>
        </is>
      </c>
      <c r="B136" t="n">
        <v>1</v>
      </c>
      <c r="C136" t="inlineStr">
        <is>
          <t>Mother Gothel; Rapunzel</t>
        </is>
      </c>
      <c r="D136" t="inlineStr">
        <is>
          <t>Mother Gothel Pin</t>
        </is>
      </c>
      <c r="E136" t="inlineStr"/>
      <c r="F136" t="inlineStr"/>
      <c r="G136" t="inlineStr">
        <is>
          <t>N</t>
        </is>
      </c>
      <c r="H136" t="inlineStr"/>
      <c r="I136" t="inlineStr">
        <is>
          <t>none</t>
        </is>
      </c>
      <c r="J136" t="inlineStr">
        <is>
          <t>candidate</t>
        </is>
      </c>
      <c r="K136" t="inlineStr">
        <is>
          <t>Medium</t>
        </is>
      </c>
      <c r="L136" t="inlineStr">
        <is>
          <t>dlp/2025/mother-gothel-le-700/mother-gothel</t>
        </is>
      </c>
    </row>
    <row r="137">
      <c r="A137" t="inlineStr">
        <is>
          <t>PHS-0033</t>
        </is>
      </c>
      <c r="B137" t="n">
        <v>1</v>
      </c>
      <c r="C137" t="inlineStr">
        <is>
          <t>Mickey Mouse</t>
        </is>
      </c>
      <c r="D137" t="inlineStr">
        <is>
          <t>Mickey Mouse – Pièces Jaunes Mickey pin (2025)</t>
        </is>
      </c>
      <c r="E137" t="inlineStr"/>
      <c r="F137" t="inlineStr"/>
      <c r="G137" t="inlineStr">
        <is>
          <t>N</t>
        </is>
      </c>
      <c r="H137" t="inlineStr"/>
      <c r="I137" t="inlineStr">
        <is>
          <t>none</t>
        </is>
      </c>
      <c r="J137" t="inlineStr">
        <is>
          <t>candidate</t>
        </is>
      </c>
      <c r="K137" t="inlineStr">
        <is>
          <t>Medium</t>
        </is>
      </c>
      <c r="L137" t="inlineStr">
        <is>
          <t>dlp/2025/pieces-jaunes-mickey-2025/mickey-mouse</t>
        </is>
      </c>
    </row>
    <row r="138">
      <c r="A138" t="inlineStr">
        <is>
          <t>PHS-0034</t>
        </is>
      </c>
      <c r="B138" t="n">
        <v>1</v>
      </c>
      <c r="C138" t="inlineStr">
        <is>
          <t>Chip 'n Dale</t>
        </is>
      </c>
      <c r="D138" t="inlineStr">
        <is>
          <t>Chip 'n Dale – Mickey &amp; Friends skiing pins</t>
        </is>
      </c>
      <c r="E138" t="inlineStr"/>
      <c r="F138" t="inlineStr"/>
      <c r="G138" t="inlineStr">
        <is>
          <t>N</t>
        </is>
      </c>
      <c r="H138" t="inlineStr"/>
      <c r="I138" t="inlineStr">
        <is>
          <t>none</t>
        </is>
      </c>
      <c r="J138" t="inlineStr">
        <is>
          <t>candidate</t>
        </is>
      </c>
      <c r="K138" t="inlineStr">
        <is>
          <t>Low</t>
        </is>
      </c>
      <c r="L138" t="inlineStr">
        <is>
          <t>dlp/2025/mickey-friends-skiing/chip-and-dale</t>
        </is>
      </c>
    </row>
    <row r="139">
      <c r="A139" t="inlineStr">
        <is>
          <t>PHS-0034</t>
        </is>
      </c>
      <c r="B139" t="n">
        <v>2</v>
      </c>
      <c r="C139" t="inlineStr">
        <is>
          <t>Daisy Duck</t>
        </is>
      </c>
      <c r="D139" t="inlineStr">
        <is>
          <t>Daisy Duck – Mickey &amp; Friends skiing pins</t>
        </is>
      </c>
      <c r="E139" t="inlineStr"/>
      <c r="F139" t="inlineStr"/>
      <c r="G139" t="inlineStr">
        <is>
          <t>N</t>
        </is>
      </c>
      <c r="H139" t="inlineStr"/>
      <c r="I139" t="inlineStr">
        <is>
          <t>none</t>
        </is>
      </c>
      <c r="J139" t="inlineStr">
        <is>
          <t>candidate</t>
        </is>
      </c>
      <c r="K139" t="inlineStr">
        <is>
          <t>Low</t>
        </is>
      </c>
      <c r="L139" t="inlineStr">
        <is>
          <t>dlp/2025/mickey-friends-skiing/daisy</t>
        </is>
      </c>
    </row>
    <row r="140">
      <c r="A140" t="inlineStr">
        <is>
          <t>PHS-0034</t>
        </is>
      </c>
      <c r="B140" t="n">
        <v>3</v>
      </c>
      <c r="C140" t="inlineStr">
        <is>
          <t>Donald Duck</t>
        </is>
      </c>
      <c r="D140" t="inlineStr">
        <is>
          <t>Donald Duck – Mickey &amp; Friends skiing pins</t>
        </is>
      </c>
      <c r="E140" t="inlineStr"/>
      <c r="F140" t="inlineStr"/>
      <c r="G140" t="inlineStr">
        <is>
          <t>N</t>
        </is>
      </c>
      <c r="H140" t="inlineStr"/>
      <c r="I140" t="inlineStr">
        <is>
          <t>none</t>
        </is>
      </c>
      <c r="J140" t="inlineStr">
        <is>
          <t>candidate</t>
        </is>
      </c>
      <c r="K140" t="inlineStr">
        <is>
          <t>Low</t>
        </is>
      </c>
      <c r="L140" t="inlineStr">
        <is>
          <t>dlp/2025/mickey-friends-skiing/donald</t>
        </is>
      </c>
    </row>
    <row r="141">
      <c r="A141" t="inlineStr">
        <is>
          <t>PHS-0034</t>
        </is>
      </c>
      <c r="B141" t="n">
        <v>4</v>
      </c>
      <c r="C141" t="inlineStr">
        <is>
          <t>Goofy</t>
        </is>
      </c>
      <c r="D141" t="inlineStr">
        <is>
          <t>Goofy – Mickey &amp; Friends skiing pins</t>
        </is>
      </c>
      <c r="E141" t="inlineStr"/>
      <c r="F141" t="inlineStr"/>
      <c r="G141" t="inlineStr">
        <is>
          <t>N</t>
        </is>
      </c>
      <c r="H141" t="inlineStr"/>
      <c r="I141" t="inlineStr">
        <is>
          <t>none</t>
        </is>
      </c>
      <c r="J141" t="inlineStr">
        <is>
          <t>candidate</t>
        </is>
      </c>
      <c r="K141" t="inlineStr">
        <is>
          <t>Low</t>
        </is>
      </c>
      <c r="L141" t="inlineStr">
        <is>
          <t>dlp/2025/mickey-friends-skiing/goofy</t>
        </is>
      </c>
    </row>
    <row r="142">
      <c r="A142" t="inlineStr">
        <is>
          <t>PHS-0034</t>
        </is>
      </c>
      <c r="B142" t="n">
        <v>5</v>
      </c>
      <c r="C142" t="inlineStr">
        <is>
          <t>Mickey Mouse</t>
        </is>
      </c>
      <c r="D142" t="inlineStr">
        <is>
          <t>Mickey Mouse – Mickey &amp; Friends skiing pins</t>
        </is>
      </c>
      <c r="E142" t="inlineStr"/>
      <c r="F142" t="inlineStr"/>
      <c r="G142" t="inlineStr">
        <is>
          <t>N</t>
        </is>
      </c>
      <c r="H142" t="inlineStr"/>
      <c r="I142" t="inlineStr">
        <is>
          <t>none</t>
        </is>
      </c>
      <c r="J142" t="inlineStr">
        <is>
          <t>candidate</t>
        </is>
      </c>
      <c r="K142" t="inlineStr">
        <is>
          <t>Low</t>
        </is>
      </c>
      <c r="L142" t="inlineStr">
        <is>
          <t>dlp/2025/mickey-friends-skiing/mickey</t>
        </is>
      </c>
    </row>
    <row r="143">
      <c r="A143" t="inlineStr">
        <is>
          <t>PHS-0034</t>
        </is>
      </c>
      <c r="B143" t="n">
        <v>6</v>
      </c>
      <c r="C143" t="inlineStr">
        <is>
          <t>Minnie Mouse</t>
        </is>
      </c>
      <c r="D143" t="inlineStr">
        <is>
          <t>Minnie Mouse – Mickey &amp; Friends skiing pins</t>
        </is>
      </c>
      <c r="E143" t="inlineStr"/>
      <c r="F143" t="inlineStr"/>
      <c r="G143" t="inlineStr">
        <is>
          <t>N</t>
        </is>
      </c>
      <c r="H143" t="inlineStr"/>
      <c r="I143" t="inlineStr">
        <is>
          <t>none</t>
        </is>
      </c>
      <c r="J143" t="inlineStr">
        <is>
          <t>candidate</t>
        </is>
      </c>
      <c r="K143" t="inlineStr">
        <is>
          <t>Low</t>
        </is>
      </c>
      <c r="L143" t="inlineStr">
        <is>
          <t>dlp/2025/mickey-friends-skiing/minnie</t>
        </is>
      </c>
    </row>
    <row r="144">
      <c r="A144" t="inlineStr">
        <is>
          <t>PHS-0034</t>
        </is>
      </c>
      <c r="B144" t="n">
        <v>7</v>
      </c>
      <c r="C144" t="inlineStr">
        <is>
          <t>Pluto</t>
        </is>
      </c>
      <c r="D144" t="inlineStr">
        <is>
          <t>Pluto – Mickey &amp; Friends skiing pins</t>
        </is>
      </c>
      <c r="E144" t="inlineStr"/>
      <c r="F144" t="inlineStr"/>
      <c r="G144" t="inlineStr">
        <is>
          <t>N</t>
        </is>
      </c>
      <c r="H144" t="inlineStr"/>
      <c r="I144" t="inlineStr">
        <is>
          <t>none</t>
        </is>
      </c>
      <c r="J144" t="inlineStr">
        <is>
          <t>candidate</t>
        </is>
      </c>
      <c r="K144" t="inlineStr">
        <is>
          <t>Low</t>
        </is>
      </c>
      <c r="L144" t="inlineStr">
        <is>
          <t>dlp/2025/mickey-friends-skiing/pluto</t>
        </is>
      </c>
    </row>
    <row r="145">
      <c r="A145" t="inlineStr">
        <is>
          <t>PHS-0035</t>
        </is>
      </c>
      <c r="B145" t="n">
        <v>1</v>
      </c>
      <c r="C145" t="inlineStr">
        <is>
          <t>Henry Ravenswood</t>
        </is>
      </c>
      <c r="D145" t="inlineStr">
        <is>
          <t>Henry Ravenswood – Henry Ravenswood jumbo limited edition pin</t>
        </is>
      </c>
      <c r="E145" t="inlineStr"/>
      <c r="F145" t="inlineStr"/>
      <c r="G145" t="inlineStr">
        <is>
          <t>N</t>
        </is>
      </c>
      <c r="H145" t="inlineStr"/>
      <c r="I145" t="inlineStr">
        <is>
          <t>none</t>
        </is>
      </c>
      <c r="J145" t="inlineStr">
        <is>
          <t>candidate</t>
        </is>
      </c>
      <c r="K145" t="inlineStr">
        <is>
          <t>Medium</t>
        </is>
      </c>
      <c r="L145" t="inlineStr">
        <is>
          <t>dlp/2025/henry-ravenswood-jumbo-le-700/henry-ravenswood</t>
        </is>
      </c>
    </row>
    <row r="146">
      <c r="A146" t="inlineStr">
        <is>
          <t>PHS-0036</t>
        </is>
      </c>
      <c r="B146" t="n">
        <v>1</v>
      </c>
      <c r="C146" t="inlineStr">
        <is>
          <t>Mickey Mouse; Minnie Mouse</t>
        </is>
      </c>
      <c r="D146" t="inlineStr">
        <is>
          <t>Mickey Mouse &amp; Minnie Mouse – Disneyland Hotel open edition pins</t>
        </is>
      </c>
      <c r="E146" t="inlineStr"/>
      <c r="F146" t="inlineStr"/>
      <c r="G146" t="inlineStr">
        <is>
          <t>N</t>
        </is>
      </c>
      <c r="H146" t="inlineStr"/>
      <c r="I146" t="inlineStr">
        <is>
          <t>none</t>
        </is>
      </c>
      <c r="J146" t="inlineStr">
        <is>
          <t>candidate</t>
        </is>
      </c>
      <c r="K146" t="inlineStr">
        <is>
          <t>Low</t>
        </is>
      </c>
      <c r="L146" t="inlineStr">
        <is>
          <t>dlp/2025/disneyland-hotel-oe-2025-01/mickey-and-minnie-royal-banquet</t>
        </is>
      </c>
    </row>
    <row r="147">
      <c r="A147" t="inlineStr">
        <is>
          <t>PHS-0036</t>
        </is>
      </c>
      <c r="B147" t="n">
        <v>2</v>
      </c>
      <c r="C147" t="inlineStr">
        <is>
          <t>Mickey Mouse</t>
        </is>
      </c>
      <c r="D147" t="inlineStr">
        <is>
          <t>Mickey Mouse – Disneyland Hotel open edition pins</t>
        </is>
      </c>
      <c r="E147" t="inlineStr"/>
      <c r="F147" t="inlineStr"/>
      <c r="G147" t="inlineStr">
        <is>
          <t>N</t>
        </is>
      </c>
      <c r="H147" t="inlineStr"/>
      <c r="I147" t="inlineStr">
        <is>
          <t>none</t>
        </is>
      </c>
      <c r="J147" t="inlineStr">
        <is>
          <t>candidate</t>
        </is>
      </c>
      <c r="K147" t="inlineStr">
        <is>
          <t>Low</t>
        </is>
      </c>
      <c r="L147" t="inlineStr">
        <is>
          <t>dlp/2025/disneyland-hotel-oe-2025-01/mickey-clock</t>
        </is>
      </c>
    </row>
    <row r="148">
      <c r="A148" t="inlineStr">
        <is>
          <t>PHS-0037</t>
        </is>
      </c>
      <c r="B148" t="n">
        <v>1</v>
      </c>
      <c r="C148" t="inlineStr">
        <is>
          <t>Hercules; Megara</t>
        </is>
      </c>
      <c r="D148" t="inlineStr">
        <is>
          <t>Hercules &amp; Megara – Megara and Hercules limited edition pin</t>
        </is>
      </c>
      <c r="E148" t="inlineStr"/>
      <c r="F148" t="inlineStr"/>
      <c r="G148" t="inlineStr">
        <is>
          <t>N</t>
        </is>
      </c>
      <c r="H148" t="inlineStr"/>
      <c r="I148" t="inlineStr">
        <is>
          <t>none</t>
        </is>
      </c>
      <c r="J148" t="inlineStr">
        <is>
          <t>candidate</t>
        </is>
      </c>
      <c r="K148" t="inlineStr">
        <is>
          <t>Low</t>
        </is>
      </c>
      <c r="L148" t="inlineStr">
        <is>
          <t>dlp/2025/megara-hercules-le-700/megara-and-hercules</t>
        </is>
      </c>
    </row>
    <row r="149">
      <c r="A149" t="inlineStr">
        <is>
          <t>PHS-0038</t>
        </is>
      </c>
      <c r="B149" t="n">
        <v>1</v>
      </c>
      <c r="C149" t="inlineStr">
        <is>
          <t>Cruella de Vil</t>
        </is>
      </c>
      <c r="D149" t="inlineStr">
        <is>
          <t>Cruella de Vil – Pin Trading Time January 2025 refresher pin (Cruella)</t>
        </is>
      </c>
      <c r="E149" t="inlineStr"/>
      <c r="F149" t="inlineStr"/>
      <c r="G149" t="inlineStr">
        <is>
          <t>N</t>
        </is>
      </c>
      <c r="H149" t="inlineStr"/>
      <c r="I149" t="inlineStr">
        <is>
          <t>none</t>
        </is>
      </c>
      <c r="J149" t="inlineStr">
        <is>
          <t>candidate</t>
        </is>
      </c>
      <c r="K149" t="inlineStr">
        <is>
          <t>Low</t>
        </is>
      </c>
      <c r="L149" t="inlineStr">
        <is>
          <t>dlp/2025/pin-trading-time-2025-01-cheyenne-refresher-cruella/cruella</t>
        </is>
      </c>
    </row>
    <row r="150">
      <c r="A150" t="inlineStr">
        <is>
          <t>PHS-0039</t>
        </is>
      </c>
      <c r="B150" t="n">
        <v>1</v>
      </c>
      <c r="C150" t="inlineStr">
        <is>
          <t>Cinderella; Lady Tremaine</t>
        </is>
      </c>
      <c r="D150" t="inlineStr">
        <is>
          <t>Cinderella &amp; Lady Tremaine – Lady Tremaine limited edition pin (Cinderella silhouette)</t>
        </is>
      </c>
      <c r="E150" t="inlineStr"/>
      <c r="F150" t="inlineStr"/>
      <c r="G150" t="inlineStr">
        <is>
          <t>N</t>
        </is>
      </c>
      <c r="H150" t="inlineStr"/>
      <c r="I150" t="inlineStr">
        <is>
          <t>none</t>
        </is>
      </c>
      <c r="J150" t="inlineStr">
        <is>
          <t>candidate</t>
        </is>
      </c>
      <c r="K150" t="inlineStr">
        <is>
          <t>Medium</t>
        </is>
      </c>
      <c r="L150" t="inlineStr">
        <is>
          <t>dlp/2025/lady-tremaine-le-700/lady-tremaine</t>
        </is>
      </c>
    </row>
    <row r="151">
      <c r="A151" t="inlineStr">
        <is>
          <t>PHS-0040</t>
        </is>
      </c>
      <c r="B151" t="n">
        <v>1</v>
      </c>
      <c r="C151" t="inlineStr">
        <is>
          <t>Flynn Rider; Rapunzel</t>
        </is>
      </c>
      <c r="D151" t="inlineStr">
        <is>
          <t>Flynn Rider &amp; Rapunzel – Tangled Valentine's Day 2025 surprise pin</t>
        </is>
      </c>
      <c r="E151" t="inlineStr"/>
      <c r="F151" t="n">
        <v>700</v>
      </c>
      <c r="G151" t="inlineStr">
        <is>
          <t>N</t>
        </is>
      </c>
      <c r="H151" t="inlineStr"/>
      <c r="I151" t="inlineStr">
        <is>
          <t>none</t>
        </is>
      </c>
      <c r="J151" t="inlineStr">
        <is>
          <t>candidate</t>
        </is>
      </c>
      <c r="K151" t="inlineStr">
        <is>
          <t>Low</t>
        </is>
      </c>
      <c r="L151" t="inlineStr">
        <is>
          <t>dlp/2025/tangled-valentines-day-2025-surprise-le-700/flynn-rider-and-rapunzel</t>
        </is>
      </c>
    </row>
    <row r="152">
      <c r="A152" t="inlineStr">
        <is>
          <t>PHS-0041</t>
        </is>
      </c>
      <c r="B152" t="n">
        <v>1</v>
      </c>
      <c r="C152" t="inlineStr">
        <is>
          <t>Gus; Jaq</t>
        </is>
      </c>
      <c r="D152" t="inlineStr">
        <is>
          <t>Gus &amp; Jaq – Cinderella 75th Anniversary limited edition pins</t>
        </is>
      </c>
      <c r="E152" t="inlineStr"/>
      <c r="F152" t="inlineStr"/>
      <c r="G152" t="inlineStr">
        <is>
          <t>N</t>
        </is>
      </c>
      <c r="H152" t="inlineStr"/>
      <c r="I152" t="inlineStr">
        <is>
          <t>none</t>
        </is>
      </c>
      <c r="J152" t="inlineStr">
        <is>
          <t>candidate</t>
        </is>
      </c>
      <c r="K152" t="inlineStr">
        <is>
          <t>Low</t>
        </is>
      </c>
      <c r="L152" t="inlineStr">
        <is>
          <t>dlp/2025/cinderella-75th-anniversary-le-2025-02-15/jaq-and-gus</t>
        </is>
      </c>
    </row>
    <row r="153">
      <c r="A153" t="inlineStr">
        <is>
          <t>PHS-0041</t>
        </is>
      </c>
      <c r="B153" t="n">
        <v>2</v>
      </c>
      <c r="C153" t="inlineStr">
        <is>
          <t>Prince Charming; Snow White</t>
        </is>
      </c>
      <c r="D153" t="inlineStr">
        <is>
          <t>Prince Charming &amp; Snow White – Cinderella 75th Anniversary limited edition pins</t>
        </is>
      </c>
      <c r="E153" t="inlineStr"/>
      <c r="F153" t="inlineStr"/>
      <c r="G153" t="inlineStr">
        <is>
          <t>N</t>
        </is>
      </c>
      <c r="H153" t="inlineStr"/>
      <c r="I153" t="inlineStr">
        <is>
          <t>none</t>
        </is>
      </c>
      <c r="J153" t="inlineStr">
        <is>
          <t>candidate</t>
        </is>
      </c>
      <c r="K153" t="inlineStr">
        <is>
          <t>Low</t>
        </is>
      </c>
      <c r="L153" t="inlineStr">
        <is>
          <t>dlp/2025/cinderella-75th-anniversary-le-2025-02-15/snow-white-and-prince-charming</t>
        </is>
      </c>
    </row>
    <row r="154">
      <c r="A154" t="inlineStr">
        <is>
          <t>PHS-0041</t>
        </is>
      </c>
      <c r="B154" t="n">
        <v>3</v>
      </c>
      <c r="C154" t="inlineStr"/>
      <c r="D154" t="inlineStr">
        <is>
          <t>Cinderella 75th Anniversary spinner pin</t>
        </is>
      </c>
      <c r="E154" t="inlineStr"/>
      <c r="F154" t="inlineStr"/>
      <c r="G154" t="inlineStr">
        <is>
          <t>N</t>
        </is>
      </c>
      <c r="H154" t="inlineStr"/>
      <c r="I154" t="inlineStr">
        <is>
          <t>none</t>
        </is>
      </c>
      <c r="J154" t="inlineStr">
        <is>
          <t>candidate</t>
        </is>
      </c>
      <c r="K154" t="inlineStr">
        <is>
          <t>Low</t>
        </is>
      </c>
      <c r="L154" t="inlineStr">
        <is>
          <t>dlp/2025/cinderella-75th-anniversary-le-2025-02-15/spinner</t>
        </is>
      </c>
    </row>
    <row r="155">
      <c r="A155" t="inlineStr">
        <is>
          <t>PHS-0042</t>
        </is>
      </c>
      <c r="B155" t="n">
        <v>1</v>
      </c>
      <c r="C155" t="inlineStr">
        <is>
          <t>Lady; Tramp</t>
        </is>
      </c>
      <c r="D155" t="inlineStr">
        <is>
          <t>Lady &amp; Tramp – Lady and the Tramp limited edition pin</t>
        </is>
      </c>
      <c r="E155" t="inlineStr"/>
      <c r="F155" t="inlineStr"/>
      <c r="G155" t="inlineStr">
        <is>
          <t>N</t>
        </is>
      </c>
      <c r="H155" t="inlineStr"/>
      <c r="I155" t="inlineStr">
        <is>
          <t>none</t>
        </is>
      </c>
      <c r="J155" t="inlineStr">
        <is>
          <t>candidate</t>
        </is>
      </c>
      <c r="K155" t="inlineStr">
        <is>
          <t>Low</t>
        </is>
      </c>
      <c r="L155" t="inlineStr">
        <is>
          <t>dlp/2025/lady-and-the-tramp-le-2025-02-15/lady-and-tramp</t>
        </is>
      </c>
    </row>
    <row r="156">
      <c r="A156" t="inlineStr">
        <is>
          <t>PHS-0043</t>
        </is>
      </c>
      <c r="B156" t="n">
        <v>1</v>
      </c>
      <c r="C156" t="inlineStr">
        <is>
          <t>Angel; Stitch</t>
        </is>
      </c>
      <c r="D156" t="inlineStr">
        <is>
          <t>Angel &amp; Stitch – Paris-themed Mickey &amp; Friends pins</t>
        </is>
      </c>
      <c r="E156" t="inlineStr"/>
      <c r="F156" t="inlineStr"/>
      <c r="G156" t="inlineStr">
        <is>
          <t>N</t>
        </is>
      </c>
      <c r="H156" t="inlineStr"/>
      <c r="I156" t="inlineStr">
        <is>
          <t>none</t>
        </is>
      </c>
      <c r="J156" t="inlineStr">
        <is>
          <t>candidate</t>
        </is>
      </c>
      <c r="K156" t="inlineStr">
        <is>
          <t>Medium</t>
        </is>
      </c>
      <c r="L156" t="inlineStr">
        <is>
          <t>dlp/2025/paris-mickey-friends-2025-03-01/angel-and-stitch</t>
        </is>
      </c>
    </row>
    <row r="157">
      <c r="A157" t="inlineStr">
        <is>
          <t>PHS-0043</t>
        </is>
      </c>
      <c r="B157" t="n">
        <v>2</v>
      </c>
      <c r="C157" t="inlineStr">
        <is>
          <t>Chip; Dale</t>
        </is>
      </c>
      <c r="D157" t="inlineStr">
        <is>
          <t>Chip &amp; Dale – Paris-themed Mickey &amp; Friends pins</t>
        </is>
      </c>
      <c r="E157" t="inlineStr"/>
      <c r="F157" t="inlineStr"/>
      <c r="G157" t="inlineStr">
        <is>
          <t>N</t>
        </is>
      </c>
      <c r="H157" t="inlineStr"/>
      <c r="I157" t="inlineStr">
        <is>
          <t>none</t>
        </is>
      </c>
      <c r="J157" t="inlineStr">
        <is>
          <t>candidate</t>
        </is>
      </c>
      <c r="K157" t="inlineStr">
        <is>
          <t>Medium</t>
        </is>
      </c>
      <c r="L157" t="inlineStr">
        <is>
          <t>dlp/2025/paris-mickey-friends-2025-03-01/chip-and-dale</t>
        </is>
      </c>
    </row>
    <row r="158">
      <c r="A158" t="inlineStr">
        <is>
          <t>PHS-0043</t>
        </is>
      </c>
      <c r="B158" t="n">
        <v>3</v>
      </c>
      <c r="C158" t="inlineStr">
        <is>
          <t>Daisy Duck; Donald Duck</t>
        </is>
      </c>
      <c r="D158" t="inlineStr">
        <is>
          <t>Daisy Duck &amp; Donald Duck – Paris-themed Mickey &amp; Friends pins</t>
        </is>
      </c>
      <c r="E158" t="inlineStr"/>
      <c r="F158" t="inlineStr"/>
      <c r="G158" t="inlineStr">
        <is>
          <t>N</t>
        </is>
      </c>
      <c r="H158" t="inlineStr"/>
      <c r="I158" t="inlineStr">
        <is>
          <t>none</t>
        </is>
      </c>
      <c r="J158" t="inlineStr">
        <is>
          <t>candidate</t>
        </is>
      </c>
      <c r="K158" t="inlineStr">
        <is>
          <t>Medium</t>
        </is>
      </c>
      <c r="L158" t="inlineStr">
        <is>
          <t>dlp/2025/paris-mickey-friends-2025-03-01/donald-and-daisy</t>
        </is>
      </c>
    </row>
    <row r="159">
      <c r="A159" t="inlineStr">
        <is>
          <t>PHS-0043</t>
        </is>
      </c>
      <c r="B159" t="n">
        <v>4</v>
      </c>
      <c r="C159" t="inlineStr">
        <is>
          <t>Mickey Mouse; Minnie Mouse</t>
        </is>
      </c>
      <c r="D159" t="inlineStr">
        <is>
          <t>Mickey Mouse &amp; Minnie Mouse – Paris-themed Mickey &amp; Friends pins</t>
        </is>
      </c>
      <c r="E159" t="inlineStr"/>
      <c r="F159" t="inlineStr"/>
      <c r="G159" t="inlineStr">
        <is>
          <t>N</t>
        </is>
      </c>
      <c r="H159" t="inlineStr"/>
      <c r="I159" t="inlineStr">
        <is>
          <t>none</t>
        </is>
      </c>
      <c r="J159" t="inlineStr">
        <is>
          <t>candidate</t>
        </is>
      </c>
      <c r="K159" t="inlineStr">
        <is>
          <t>Medium</t>
        </is>
      </c>
      <c r="L159" t="inlineStr">
        <is>
          <t>dlp/2025/paris-mickey-friends-2025-03-01/mickey-and-minnie</t>
        </is>
      </c>
    </row>
    <row r="160">
      <c r="A160" t="inlineStr">
        <is>
          <t>PHS-0044</t>
        </is>
      </c>
      <c r="B160" t="n">
        <v>1</v>
      </c>
      <c r="C160" t="inlineStr">
        <is>
          <t>Duchess; Thomas O'Malley</t>
        </is>
      </c>
      <c r="D160" t="inlineStr">
        <is>
          <t>Duchess &amp; Thomas O'Malley – Duchess and O'Malley limited edition pin</t>
        </is>
      </c>
      <c r="E160" t="inlineStr"/>
      <c r="F160" t="inlineStr"/>
      <c r="G160" t="inlineStr">
        <is>
          <t>N</t>
        </is>
      </c>
      <c r="H160" t="inlineStr"/>
      <c r="I160" t="inlineStr">
        <is>
          <t>none</t>
        </is>
      </c>
      <c r="J160" t="inlineStr">
        <is>
          <t>candidate</t>
        </is>
      </c>
      <c r="K160" t="inlineStr">
        <is>
          <t>Medium</t>
        </is>
      </c>
      <c r="L160" t="inlineStr">
        <is>
          <t>dlp/2025/duchess-omalley-le-2025-03-08/duchess-and-thomas-omalley</t>
        </is>
      </c>
    </row>
    <row r="161">
      <c r="A161" t="inlineStr">
        <is>
          <t>PHS-0045</t>
        </is>
      </c>
      <c r="B161" t="n">
        <v>1</v>
      </c>
      <c r="C161" t="inlineStr">
        <is>
          <t>Stitch</t>
        </is>
      </c>
      <c r="D161" t="inlineStr">
        <is>
          <t>Stitch – Stitch as Disney Villains series</t>
        </is>
      </c>
      <c r="E161" t="inlineStr"/>
      <c r="F161" t="inlineStr"/>
      <c r="G161" t="inlineStr">
        <is>
          <t>N</t>
        </is>
      </c>
      <c r="H161" t="inlineStr"/>
      <c r="I161" t="inlineStr">
        <is>
          <t>none</t>
        </is>
      </c>
      <c r="J161" t="inlineStr">
        <is>
          <t>candidate</t>
        </is>
      </c>
      <c r="K161" t="inlineStr">
        <is>
          <t>Medium</t>
        </is>
      </c>
      <c r="L161" t="inlineStr">
        <is>
          <t>dlp/2025/stitch-villains-series-2025-03-08/stitch-as-cruella</t>
        </is>
      </c>
    </row>
    <row r="162">
      <c r="A162" t="inlineStr">
        <is>
          <t>PHS-0045</t>
        </is>
      </c>
      <c r="B162" t="n">
        <v>2</v>
      </c>
      <c r="C162" t="inlineStr">
        <is>
          <t>Stitch</t>
        </is>
      </c>
      <c r="D162" t="inlineStr">
        <is>
          <t>Stitch – Stitch as Disney Villains series</t>
        </is>
      </c>
      <c r="E162" t="inlineStr"/>
      <c r="F162" t="inlineStr"/>
      <c r="G162" t="inlineStr">
        <is>
          <t>N</t>
        </is>
      </c>
      <c r="H162" t="inlineStr"/>
      <c r="I162" t="inlineStr">
        <is>
          <t>none</t>
        </is>
      </c>
      <c r="J162" t="inlineStr">
        <is>
          <t>candidate</t>
        </is>
      </c>
      <c r="K162" t="inlineStr">
        <is>
          <t>Medium</t>
        </is>
      </c>
      <c r="L162" t="inlineStr">
        <is>
          <t>dlp/2025/stitch-villains-series-2025-03-08/stitch-as-evil-queen</t>
        </is>
      </c>
    </row>
    <row r="163">
      <c r="A163" t="inlineStr">
        <is>
          <t>PHS-0045</t>
        </is>
      </c>
      <c r="B163" t="n">
        <v>3</v>
      </c>
      <c r="C163" t="inlineStr">
        <is>
          <t>Stitch</t>
        </is>
      </c>
      <c r="D163" t="inlineStr">
        <is>
          <t>Stitch – Stitch as Disney Villains series</t>
        </is>
      </c>
      <c r="E163" t="inlineStr"/>
      <c r="F163" t="inlineStr"/>
      <c r="G163" t="inlineStr">
        <is>
          <t>N</t>
        </is>
      </c>
      <c r="H163" t="inlineStr"/>
      <c r="I163" t="inlineStr">
        <is>
          <t>none</t>
        </is>
      </c>
      <c r="J163" t="inlineStr">
        <is>
          <t>candidate</t>
        </is>
      </c>
      <c r="K163" t="inlineStr">
        <is>
          <t>Medium</t>
        </is>
      </c>
      <c r="L163" t="inlineStr">
        <is>
          <t>dlp/2025/stitch-villains-series-2025-03-08/stitch-as-ursula</t>
        </is>
      </c>
    </row>
    <row r="164">
      <c r="A164" t="inlineStr">
        <is>
          <t>PHS-0045</t>
        </is>
      </c>
      <c r="B164" t="n">
        <v>4</v>
      </c>
      <c r="C164" t="inlineStr">
        <is>
          <t>Stitch</t>
        </is>
      </c>
      <c r="D164" t="inlineStr">
        <is>
          <t>Stitch – Stitch as Disney Villains series</t>
        </is>
      </c>
      <c r="E164" t="inlineStr"/>
      <c r="F164" t="inlineStr"/>
      <c r="G164" t="inlineStr">
        <is>
          <t>N</t>
        </is>
      </c>
      <c r="H164" t="inlineStr"/>
      <c r="I164" t="inlineStr">
        <is>
          <t>none</t>
        </is>
      </c>
      <c r="J164" t="inlineStr">
        <is>
          <t>candidate</t>
        </is>
      </c>
      <c r="K164" t="inlineStr">
        <is>
          <t>Medium</t>
        </is>
      </c>
      <c r="L164" t="inlineStr">
        <is>
          <t>dlp/2025/stitch-villains-series-2025-03-08/stitch-as-yzma</t>
        </is>
      </c>
    </row>
    <row r="165">
      <c r="A165" t="inlineStr">
        <is>
          <t>PHS-0046</t>
        </is>
      </c>
      <c r="B165" t="n">
        <v>1</v>
      </c>
      <c r="C165" t="inlineStr">
        <is>
          <t>Aurora; Maleficent</t>
        </is>
      </c>
      <c r="D165" t="inlineStr">
        <is>
          <t>Aurora &amp; Maleficent – Maleficent with Aurora silhouette limited edition pin</t>
        </is>
      </c>
      <c r="E165" t="inlineStr"/>
      <c r="F165" t="inlineStr"/>
      <c r="G165" t="inlineStr">
        <is>
          <t>N</t>
        </is>
      </c>
      <c r="H165" t="inlineStr"/>
      <c r="I165" t="inlineStr">
        <is>
          <t>none</t>
        </is>
      </c>
      <c r="J165" t="inlineStr">
        <is>
          <t>candidate</t>
        </is>
      </c>
      <c r="K165" t="inlineStr">
        <is>
          <t>Medium</t>
        </is>
      </c>
      <c r="L165" t="inlineStr">
        <is>
          <t>dlp/2025/maleficent-aurora-silhouette-le-2025-03-15/maleficent-aurora-silhouette</t>
        </is>
      </c>
    </row>
    <row r="166">
      <c r="A166" t="inlineStr">
        <is>
          <t>PHS-0047</t>
        </is>
      </c>
      <c r="B166" t="n">
        <v>1</v>
      </c>
      <c r="C166" t="inlineStr">
        <is>
          <t>Scrooge McDuck</t>
        </is>
      </c>
      <c r="D166" t="inlineStr">
        <is>
          <t>Scrooge McDuck – Scrooge McDuck St. Patrick's Day limited edition pin</t>
        </is>
      </c>
      <c r="E166" t="inlineStr"/>
      <c r="F166" t="inlineStr"/>
      <c r="G166" t="inlineStr">
        <is>
          <t>N</t>
        </is>
      </c>
      <c r="H166" t="inlineStr"/>
      <c r="I166" t="inlineStr">
        <is>
          <t>none</t>
        </is>
      </c>
      <c r="J166" t="inlineStr">
        <is>
          <t>candidate</t>
        </is>
      </c>
      <c r="K166" t="inlineStr">
        <is>
          <t>Medium</t>
        </is>
      </c>
      <c r="L166" t="inlineStr">
        <is>
          <t>dlp/2025/scrooge-st-patricks-day-le-2025-03-15/scrooge-st-patricks-day</t>
        </is>
      </c>
    </row>
    <row r="167">
      <c r="A167" t="inlineStr">
        <is>
          <t>PHS-0048</t>
        </is>
      </c>
      <c r="B167" t="n">
        <v>1</v>
      </c>
      <c r="C167" t="inlineStr">
        <is>
          <t>Snow White</t>
        </is>
      </c>
      <c r="D167" t="inlineStr">
        <is>
          <t>Snow White – Snow White Spring (Printemps) 2025 limited edition pin</t>
        </is>
      </c>
      <c r="E167" t="inlineStr"/>
      <c r="F167" t="inlineStr"/>
      <c r="G167" t="inlineStr">
        <is>
          <t>N</t>
        </is>
      </c>
      <c r="H167" t="inlineStr"/>
      <c r="I167" t="inlineStr">
        <is>
          <t>none</t>
        </is>
      </c>
      <c r="J167" t="inlineStr">
        <is>
          <t>candidate</t>
        </is>
      </c>
      <c r="K167" t="inlineStr">
        <is>
          <t>Medium</t>
        </is>
      </c>
      <c r="L167" t="inlineStr">
        <is>
          <t>dlp/2025/snow-white-printemps-2025-le-2025-03-15/snow-white-printemps-2025</t>
        </is>
      </c>
    </row>
    <row r="168">
      <c r="A168" t="inlineStr">
        <is>
          <t>PHS-0049</t>
        </is>
      </c>
      <c r="B168" t="n">
        <v>1</v>
      </c>
      <c r="C168" t="inlineStr">
        <is>
          <t>Mickey Mouse</t>
        </is>
      </c>
      <c r="D168" t="inlineStr">
        <is>
          <t>Mickey Mouse – Jumbo Mickey Mouse limited edition pin</t>
        </is>
      </c>
      <c r="E168" t="inlineStr"/>
      <c r="F168" t="inlineStr"/>
      <c r="G168" t="inlineStr">
        <is>
          <t>N</t>
        </is>
      </c>
      <c r="H168" t="inlineStr"/>
      <c r="I168" t="inlineStr">
        <is>
          <t>none</t>
        </is>
      </c>
      <c r="J168" t="inlineStr">
        <is>
          <t>candidate</t>
        </is>
      </c>
      <c r="K168" t="inlineStr">
        <is>
          <t>Medium</t>
        </is>
      </c>
      <c r="L168" t="inlineStr">
        <is>
          <t>dlp/2025/jumbo-mickey-le-2025-03-22/mickey-mouse</t>
        </is>
      </c>
    </row>
    <row r="169">
      <c r="A169" t="inlineStr">
        <is>
          <t>PHS-0050</t>
        </is>
      </c>
      <c r="B169" t="n">
        <v>1</v>
      </c>
      <c r="C169" t="inlineStr">
        <is>
          <t>Olaf</t>
        </is>
      </c>
      <c r="D169" t="inlineStr">
        <is>
          <t>Olaf – Olaf limited edition pin</t>
        </is>
      </c>
      <c r="E169" t="inlineStr"/>
      <c r="F169" t="inlineStr"/>
      <c r="G169" t="inlineStr">
        <is>
          <t>N</t>
        </is>
      </c>
      <c r="H169" t="inlineStr"/>
      <c r="I169" t="inlineStr">
        <is>
          <t>none</t>
        </is>
      </c>
      <c r="J169" t="inlineStr">
        <is>
          <t>candidate</t>
        </is>
      </c>
      <c r="K169" t="inlineStr">
        <is>
          <t>Medium</t>
        </is>
      </c>
      <c r="L169" t="inlineStr">
        <is>
          <t>dlp/2025/olaf-le-2025-03-22/olaf</t>
        </is>
      </c>
    </row>
    <row r="170">
      <c r="A170" t="inlineStr">
        <is>
          <t>PHS-0051</t>
        </is>
      </c>
      <c r="B170" t="n">
        <v>1</v>
      </c>
      <c r="C170" t="inlineStr">
        <is>
          <t>Peter Pan</t>
        </is>
      </c>
      <c r="D170" t="inlineStr">
        <is>
          <t>Peter Pan – Peter Pan limited edition pin</t>
        </is>
      </c>
      <c r="E170" t="inlineStr"/>
      <c r="F170" t="inlineStr"/>
      <c r="G170" t="inlineStr">
        <is>
          <t>N</t>
        </is>
      </c>
      <c r="H170" t="inlineStr"/>
      <c r="I170" t="inlineStr">
        <is>
          <t>none</t>
        </is>
      </c>
      <c r="J170" t="inlineStr">
        <is>
          <t>candidate</t>
        </is>
      </c>
      <c r="K170" t="inlineStr">
        <is>
          <t>Medium</t>
        </is>
      </c>
      <c r="L170" t="inlineStr">
        <is>
          <t>dlp/2025/peter-pan-le-2025-03-22/peter-pan</t>
        </is>
      </c>
    </row>
    <row r="171">
      <c r="A171" t="inlineStr">
        <is>
          <t>PHS-0052</t>
        </is>
      </c>
      <c r="B171" t="n">
        <v>1</v>
      </c>
      <c r="C171" t="inlineStr">
        <is>
          <t>Dumbo</t>
        </is>
      </c>
      <c r="D171" t="inlineStr">
        <is>
          <t>Dumbo – Dumbo and Rabbit butterfly limited edition pins</t>
        </is>
      </c>
      <c r="E171" t="inlineStr"/>
      <c r="F171" t="inlineStr"/>
      <c r="G171" t="inlineStr">
        <is>
          <t>N</t>
        </is>
      </c>
      <c r="H171" t="inlineStr"/>
      <c r="I171" t="inlineStr">
        <is>
          <t>none</t>
        </is>
      </c>
      <c r="J171" t="inlineStr">
        <is>
          <t>candidate</t>
        </is>
      </c>
      <c r="K171" t="inlineStr">
        <is>
          <t>Medium</t>
        </is>
      </c>
      <c r="L171" t="inlineStr">
        <is>
          <t>dlp/2025/dumbo-rabbit-butterfly-le-2025-03-29/dumbo</t>
        </is>
      </c>
    </row>
    <row r="172">
      <c r="A172" t="inlineStr">
        <is>
          <t>PHS-0052</t>
        </is>
      </c>
      <c r="B172" t="n">
        <v>2</v>
      </c>
      <c r="C172" t="inlineStr">
        <is>
          <t>Rabbit; Thumper</t>
        </is>
      </c>
      <c r="D172" t="inlineStr">
        <is>
          <t>Rabbit &amp; Thumper – Dumbo and Rabbit butterfly limited edition pins</t>
        </is>
      </c>
      <c r="E172" t="inlineStr"/>
      <c r="F172" t="inlineStr"/>
      <c r="G172" t="inlineStr">
        <is>
          <t>N</t>
        </is>
      </c>
      <c r="H172" t="inlineStr"/>
      <c r="I172" t="inlineStr">
        <is>
          <t>none</t>
        </is>
      </c>
      <c r="J172" t="inlineStr">
        <is>
          <t>candidate</t>
        </is>
      </c>
      <c r="K172" t="inlineStr">
        <is>
          <t>Medium</t>
        </is>
      </c>
      <c r="L172" t="inlineStr">
        <is>
          <t>dlp/2025/dumbo-rabbit-butterfly-le-2025-03-29/rabbit</t>
        </is>
      </c>
    </row>
    <row r="173">
      <c r="A173" t="inlineStr">
        <is>
          <t>PHS-0053</t>
        </is>
      </c>
      <c r="B173" t="n">
        <v>1</v>
      </c>
      <c r="C173" t="inlineStr"/>
      <c r="D173" t="inlineStr">
        <is>
          <t>Pixar Ball</t>
        </is>
      </c>
      <c r="E173" t="inlineStr"/>
      <c r="F173" t="inlineStr"/>
      <c r="G173" t="inlineStr">
        <is>
          <t>N</t>
        </is>
      </c>
      <c r="H173" t="inlineStr"/>
      <c r="I173" t="inlineStr">
        <is>
          <t>none</t>
        </is>
      </c>
      <c r="J173" t="inlineStr">
        <is>
          <t>candidate</t>
        </is>
      </c>
      <c r="K173" t="inlineStr">
        <is>
          <t>Low</t>
        </is>
      </c>
      <c r="L173" t="inlineStr">
        <is>
          <t>dlp/2025/pixar-ball-2025-03-29/pixar-ball</t>
        </is>
      </c>
    </row>
    <row r="174">
      <c r="A174" t="inlineStr">
        <is>
          <t>PHS-0054</t>
        </is>
      </c>
      <c r="B174" t="n">
        <v>1</v>
      </c>
      <c r="C174" t="inlineStr">
        <is>
          <t>Kuzco; Yzma</t>
        </is>
      </c>
      <c r="D174" t="inlineStr">
        <is>
          <t>Kuzco &amp; Yzma – Yzma &amp; Kuzco limited edition pin</t>
        </is>
      </c>
      <c r="E174" t="inlineStr"/>
      <c r="F174" t="n">
        <v>700</v>
      </c>
      <c r="G174" t="inlineStr">
        <is>
          <t>N</t>
        </is>
      </c>
      <c r="H174" t="inlineStr"/>
      <c r="I174" t="inlineStr">
        <is>
          <t>none</t>
        </is>
      </c>
      <c r="J174" t="inlineStr">
        <is>
          <t>candidate</t>
        </is>
      </c>
      <c r="K174" t="inlineStr">
        <is>
          <t>Medium</t>
        </is>
      </c>
      <c r="L174" t="inlineStr">
        <is>
          <t>dlp/2025/yzma-kuzco-le-700/yzma-and-kuzco</t>
        </is>
      </c>
    </row>
    <row r="175">
      <c r="A175" t="inlineStr">
        <is>
          <t>PHS-0055</t>
        </is>
      </c>
      <c r="B175" t="n">
        <v>1</v>
      </c>
      <c r="C175" t="inlineStr">
        <is>
          <t>Chip</t>
        </is>
      </c>
      <c r="D175" t="inlineStr">
        <is>
          <t>Chip – Alice's Curious Labyrinth Chip 'n' Dale pins</t>
        </is>
      </c>
      <c r="E175" t="inlineStr"/>
      <c r="F175" t="inlineStr"/>
      <c r="G175" t="inlineStr">
        <is>
          <t>N</t>
        </is>
      </c>
      <c r="H175" t="inlineStr"/>
      <c r="I175" t="inlineStr">
        <is>
          <t>none</t>
        </is>
      </c>
      <c r="J175" t="inlineStr">
        <is>
          <t>candidate</t>
        </is>
      </c>
      <c r="K175" t="inlineStr">
        <is>
          <t>Medium</t>
        </is>
      </c>
      <c r="L175" t="inlineStr">
        <is>
          <t>dlp/2025/alice-curious-labyrinth-chip-dale-2025-04-12/chip-as-cheshire-cat</t>
        </is>
      </c>
    </row>
    <row r="176">
      <c r="A176" t="inlineStr">
        <is>
          <t>PHS-0055</t>
        </is>
      </c>
      <c r="B176" t="n">
        <v>2</v>
      </c>
      <c r="C176" t="inlineStr">
        <is>
          <t>Dale</t>
        </is>
      </c>
      <c r="D176" t="inlineStr">
        <is>
          <t>Dale – Alice's Curious Labyrinth Chip 'n' Dale pins</t>
        </is>
      </c>
      <c r="E176" t="inlineStr"/>
      <c r="F176" t="inlineStr"/>
      <c r="G176" t="inlineStr">
        <is>
          <t>N</t>
        </is>
      </c>
      <c r="H176" t="inlineStr"/>
      <c r="I176" t="inlineStr">
        <is>
          <t>none</t>
        </is>
      </c>
      <c r="J176" t="inlineStr">
        <is>
          <t>candidate</t>
        </is>
      </c>
      <c r="K176" t="inlineStr">
        <is>
          <t>Medium</t>
        </is>
      </c>
      <c r="L176" t="inlineStr">
        <is>
          <t>dlp/2025/alice-curious-labyrinth-chip-dale-2025-04-12/dale-as-queen-of-hearts</t>
        </is>
      </c>
    </row>
    <row r="177">
      <c r="A177" t="inlineStr">
        <is>
          <t>PHS-0056</t>
        </is>
      </c>
      <c r="B177" t="n">
        <v>1</v>
      </c>
      <c r="C177" t="inlineStr">
        <is>
          <t>Aurora</t>
        </is>
      </c>
      <c r="D177" t="inlineStr">
        <is>
          <t>Aurora – Disneyland Paris 33rd anniversary limited edition pins</t>
        </is>
      </c>
      <c r="E177" t="inlineStr"/>
      <c r="F177" t="n">
        <v>700</v>
      </c>
      <c r="G177" t="inlineStr">
        <is>
          <t>N</t>
        </is>
      </c>
      <c r="H177" t="inlineStr"/>
      <c r="I177" t="inlineStr">
        <is>
          <t>none</t>
        </is>
      </c>
      <c r="J177" t="inlineStr">
        <is>
          <t>candidate</t>
        </is>
      </c>
      <c r="K177" t="inlineStr">
        <is>
          <t>Low</t>
        </is>
      </c>
      <c r="L177" t="inlineStr">
        <is>
          <t>dlp/2025/resort-33rd-anniversary-le-2025-04-12/aurora</t>
        </is>
      </c>
    </row>
    <row r="178">
      <c r="A178" t="inlineStr">
        <is>
          <t>PHS-0056</t>
        </is>
      </c>
      <c r="B178" t="n">
        <v>2</v>
      </c>
      <c r="C178" t="inlineStr"/>
      <c r="D178" t="inlineStr">
        <is>
          <t>Big Thunder Mountain – Disneyland Paris 33rd anniversary limited edition pins</t>
        </is>
      </c>
      <c r="E178" t="inlineStr"/>
      <c r="F178" t="n">
        <v>700</v>
      </c>
      <c r="G178" t="inlineStr">
        <is>
          <t>N</t>
        </is>
      </c>
      <c r="H178" t="inlineStr"/>
      <c r="I178" t="inlineStr">
        <is>
          <t>none</t>
        </is>
      </c>
      <c r="J178" t="inlineStr">
        <is>
          <t>candidate</t>
        </is>
      </c>
      <c r="K178" t="inlineStr">
        <is>
          <t>Low</t>
        </is>
      </c>
      <c r="L178" t="inlineStr">
        <is>
          <t>dlp/2025/resort-33rd-anniversary-le-2025-04-12/big-thunder-mountain</t>
        </is>
      </c>
    </row>
    <row r="179">
      <c r="A179" t="inlineStr">
        <is>
          <t>PHS-0056</t>
        </is>
      </c>
      <c r="B179" t="n">
        <v>3</v>
      </c>
      <c r="C179" t="inlineStr"/>
      <c r="D179" t="inlineStr">
        <is>
          <t>it's a small world – Disneyland Paris 33rd anniversary limited edition pins</t>
        </is>
      </c>
      <c r="E179" t="inlineStr"/>
      <c r="F179" t="n">
        <v>700</v>
      </c>
      <c r="G179" t="inlineStr">
        <is>
          <t>N</t>
        </is>
      </c>
      <c r="H179" t="inlineStr"/>
      <c r="I179" t="inlineStr">
        <is>
          <t>none</t>
        </is>
      </c>
      <c r="J179" t="inlineStr">
        <is>
          <t>candidate</t>
        </is>
      </c>
      <c r="K179" t="inlineStr">
        <is>
          <t>Medium</t>
        </is>
      </c>
      <c r="L179" t="inlineStr">
        <is>
          <t>dlp/2025/resort-33rd-anniversary-le-2025-04-12/its-a-small-world</t>
        </is>
      </c>
    </row>
    <row r="180">
      <c r="A180" t="inlineStr">
        <is>
          <t>PHS-0056</t>
        </is>
      </c>
      <c r="B180" t="n">
        <v>4</v>
      </c>
      <c r="C180" t="inlineStr">
        <is>
          <t>Maleficent</t>
        </is>
      </c>
      <c r="D180" t="inlineStr">
        <is>
          <t>Maleficent – Disneyland Paris 33rd anniversary limited edition pins</t>
        </is>
      </c>
      <c r="E180" t="inlineStr"/>
      <c r="F180" t="n">
        <v>700</v>
      </c>
      <c r="G180" t="inlineStr">
        <is>
          <t>N</t>
        </is>
      </c>
      <c r="H180" t="inlineStr"/>
      <c r="I180" t="inlineStr">
        <is>
          <t>none</t>
        </is>
      </c>
      <c r="J180" t="inlineStr">
        <is>
          <t>candidate</t>
        </is>
      </c>
      <c r="K180" t="inlineStr">
        <is>
          <t>Low</t>
        </is>
      </c>
      <c r="L180" t="inlineStr">
        <is>
          <t>dlp/2025/resort-33rd-anniversary-le-2025-04-12/maleficent</t>
        </is>
      </c>
    </row>
    <row r="181">
      <c r="A181" t="inlineStr">
        <is>
          <t>PHS-0056</t>
        </is>
      </c>
      <c r="B181" t="n">
        <v>5</v>
      </c>
      <c r="C181" t="inlineStr">
        <is>
          <t>Owl</t>
        </is>
      </c>
      <c r="D181" t="inlineStr">
        <is>
          <t>Owl – Disneyland Paris 33rd anniversary limited edition pins</t>
        </is>
      </c>
      <c r="E181" t="inlineStr"/>
      <c r="F181" t="n">
        <v>700</v>
      </c>
      <c r="G181" t="inlineStr">
        <is>
          <t>N</t>
        </is>
      </c>
      <c r="H181" t="inlineStr"/>
      <c r="I181" t="inlineStr">
        <is>
          <t>none</t>
        </is>
      </c>
      <c r="J181" t="inlineStr">
        <is>
          <t>candidate</t>
        </is>
      </c>
      <c r="K181" t="inlineStr">
        <is>
          <t>Low</t>
        </is>
      </c>
      <c r="L181" t="inlineStr">
        <is>
          <t>dlp/2025/resort-33rd-anniversary-le-2025-04-12/owl</t>
        </is>
      </c>
    </row>
    <row r="182">
      <c r="A182" t="inlineStr">
        <is>
          <t>PHS-0056</t>
        </is>
      </c>
      <c r="B182" t="n">
        <v>6</v>
      </c>
      <c r="C182" t="inlineStr"/>
      <c r="D182" t="inlineStr">
        <is>
          <t>Phantom Manor – Disneyland Paris 33rd anniversary limited edition pins</t>
        </is>
      </c>
      <c r="E182" t="inlineStr"/>
      <c r="F182" t="n">
        <v>700</v>
      </c>
      <c r="G182" t="inlineStr">
        <is>
          <t>N</t>
        </is>
      </c>
      <c r="H182" t="inlineStr"/>
      <c r="I182" t="inlineStr">
        <is>
          <t>none</t>
        </is>
      </c>
      <c r="J182" t="inlineStr">
        <is>
          <t>candidate</t>
        </is>
      </c>
      <c r="K182" t="inlineStr">
        <is>
          <t>Medium</t>
        </is>
      </c>
      <c r="L182" t="inlineStr">
        <is>
          <t>dlp/2025/resort-33rd-anniversary-le-2025-04-12/phantom-manor</t>
        </is>
      </c>
    </row>
    <row r="183">
      <c r="A183" t="inlineStr">
        <is>
          <t>PHS-0057</t>
        </is>
      </c>
      <c r="B183" t="n">
        <v>1</v>
      </c>
      <c r="C183" t="inlineStr">
        <is>
          <t>Dewey; Huey; Louie</t>
        </is>
      </c>
      <c r="D183" t="inlineStr">
        <is>
          <t>Dewey &amp; Huey &amp; Louie – Easter Huey, Dewey &amp; Louie limited edition pin</t>
        </is>
      </c>
      <c r="E183" t="inlineStr"/>
      <c r="F183" t="inlineStr"/>
      <c r="G183" t="inlineStr">
        <is>
          <t>N</t>
        </is>
      </c>
      <c r="H183" t="inlineStr"/>
      <c r="I183" t="inlineStr">
        <is>
          <t>none</t>
        </is>
      </c>
      <c r="J183" t="inlineStr">
        <is>
          <t>candidate</t>
        </is>
      </c>
      <c r="K183" t="inlineStr">
        <is>
          <t>Medium</t>
        </is>
      </c>
      <c r="L183" t="inlineStr">
        <is>
          <t>dlp/2025/easter-huey-dewey-louie-le-2025-04-19/easter-huey-dewey-louie</t>
        </is>
      </c>
    </row>
    <row r="184">
      <c r="A184" t="inlineStr">
        <is>
          <t>PHS-0058</t>
        </is>
      </c>
      <c r="B184" t="n">
        <v>1</v>
      </c>
      <c r="C184" t="inlineStr">
        <is>
          <t>Nala; Simba</t>
        </is>
      </c>
      <c r="D184" t="inlineStr">
        <is>
          <t>Nala &amp; Simba – Nala &amp; Simba limited edition pin</t>
        </is>
      </c>
      <c r="E184" t="inlineStr"/>
      <c r="F184" t="inlineStr"/>
      <c r="G184" t="inlineStr">
        <is>
          <t>N</t>
        </is>
      </c>
      <c r="H184" t="inlineStr"/>
      <c r="I184" t="inlineStr">
        <is>
          <t>none</t>
        </is>
      </c>
      <c r="J184" t="inlineStr">
        <is>
          <t>candidate</t>
        </is>
      </c>
      <c r="K184" t="inlineStr">
        <is>
          <t>Medium</t>
        </is>
      </c>
      <c r="L184" t="inlineStr">
        <is>
          <t>dlp/2025/nala-simba-le-2025-04-19/nala-simba</t>
        </is>
      </c>
    </row>
    <row r="185">
      <c r="A185" t="inlineStr">
        <is>
          <t>PHS-0059</t>
        </is>
      </c>
      <c r="B185" t="n">
        <v>1</v>
      </c>
      <c r="C185" t="inlineStr">
        <is>
          <t>John Darling</t>
        </is>
      </c>
      <c r="D185" t="inlineStr">
        <is>
          <t>John Darling – Pin Trading Time April 2025 refresher pin (John Darling)</t>
        </is>
      </c>
      <c r="E185" t="inlineStr"/>
      <c r="F185" t="inlineStr"/>
      <c r="G185" t="inlineStr">
        <is>
          <t>N</t>
        </is>
      </c>
      <c r="H185" t="inlineStr"/>
      <c r="I185" t="inlineStr">
        <is>
          <t>none</t>
        </is>
      </c>
      <c r="J185" t="inlineStr">
        <is>
          <t>candidate</t>
        </is>
      </c>
      <c r="K185" t="inlineStr">
        <is>
          <t>Low</t>
        </is>
      </c>
      <c r="L185" t="inlineStr">
        <is>
          <t>dlp/2025/pin-trading-time-2025-04-sequoia-refresher-john-darling/john-darling</t>
        </is>
      </c>
    </row>
    <row r="186">
      <c r="A186" t="inlineStr">
        <is>
          <t>PHS-0060</t>
        </is>
      </c>
      <c r="B186" t="n">
        <v>1</v>
      </c>
      <c r="C186" t="inlineStr">
        <is>
          <t>Berlioz; Toulouse</t>
        </is>
      </c>
      <c r="D186" t="inlineStr">
        <is>
          <t>Berlioz &amp; Toulouse – Berlioz &amp; Toulouse limited edition pin</t>
        </is>
      </c>
      <c r="E186" t="inlineStr"/>
      <c r="F186" t="inlineStr"/>
      <c r="G186" t="inlineStr">
        <is>
          <t>N</t>
        </is>
      </c>
      <c r="H186" t="inlineStr"/>
      <c r="I186" t="inlineStr">
        <is>
          <t>none</t>
        </is>
      </c>
      <c r="J186" t="inlineStr">
        <is>
          <t>candidate</t>
        </is>
      </c>
      <c r="K186" t="inlineStr">
        <is>
          <t>Low</t>
        </is>
      </c>
      <c r="L186" t="inlineStr">
        <is>
          <t>dlp/2025/berlioz-toulouse-le-2025-04-26/berlioz-toulouse</t>
        </is>
      </c>
    </row>
    <row r="187">
      <c r="A187" t="inlineStr">
        <is>
          <t>PHS-0061</t>
        </is>
      </c>
      <c r="B187" t="n">
        <v>1</v>
      </c>
      <c r="C187" t="inlineStr">
        <is>
          <t>Stitch</t>
        </is>
      </c>
      <c r="D187" t="inlineStr">
        <is>
          <t>Stitch – Stitch limited edition pin (April)</t>
        </is>
      </c>
      <c r="E187" t="inlineStr"/>
      <c r="F187" t="inlineStr"/>
      <c r="G187" t="inlineStr">
        <is>
          <t>N</t>
        </is>
      </c>
      <c r="H187" t="inlineStr"/>
      <c r="I187" t="inlineStr">
        <is>
          <t>none</t>
        </is>
      </c>
      <c r="J187" t="inlineStr">
        <is>
          <t>candidate</t>
        </is>
      </c>
      <c r="K187" t="inlineStr">
        <is>
          <t>Low</t>
        </is>
      </c>
      <c r="L187" t="inlineStr">
        <is>
          <t>dlp/2025/stitch-le-2025-04-26/stitch</t>
        </is>
      </c>
    </row>
    <row r="188">
      <c r="A188" t="inlineStr">
        <is>
          <t>PHS-0062</t>
        </is>
      </c>
      <c r="B188" t="n">
        <v>1</v>
      </c>
      <c r="C188" t="inlineStr">
        <is>
          <t>Chip; Chip 'n Dale; Dale</t>
        </is>
      </c>
      <c r="D188" t="inlineStr">
        <is>
          <t>Chip &amp; Chip 'n Dale &amp; Dale – 1 May muguet (lily of the valley) open edition pins</t>
        </is>
      </c>
      <c r="E188" t="inlineStr"/>
      <c r="F188" t="inlineStr"/>
      <c r="G188" t="inlineStr">
        <is>
          <t>N</t>
        </is>
      </c>
      <c r="H188" t="inlineStr"/>
      <c r="I188" t="inlineStr">
        <is>
          <t>none</t>
        </is>
      </c>
      <c r="J188" t="inlineStr">
        <is>
          <t>candidate</t>
        </is>
      </c>
      <c r="K188" t="inlineStr">
        <is>
          <t>Medium</t>
        </is>
      </c>
      <c r="L188" t="inlineStr">
        <is>
          <t>dlp/2025/may-1-muguet-oe-2025-05-01/chip-and-dale</t>
        </is>
      </c>
    </row>
    <row r="189">
      <c r="A189" t="inlineStr">
        <is>
          <t>PHS-0062</t>
        </is>
      </c>
      <c r="B189" t="n">
        <v>2</v>
      </c>
      <c r="C189" t="inlineStr">
        <is>
          <t>Eeyore</t>
        </is>
      </c>
      <c r="D189" t="inlineStr">
        <is>
          <t>Eeyore – 1 May muguet (lily of the valley) open edition pins</t>
        </is>
      </c>
      <c r="E189" t="inlineStr"/>
      <c r="F189" t="inlineStr"/>
      <c r="G189" t="inlineStr">
        <is>
          <t>N</t>
        </is>
      </c>
      <c r="H189" t="inlineStr"/>
      <c r="I189" t="inlineStr">
        <is>
          <t>none</t>
        </is>
      </c>
      <c r="J189" t="inlineStr">
        <is>
          <t>candidate</t>
        </is>
      </c>
      <c r="K189" t="inlineStr">
        <is>
          <t>Medium</t>
        </is>
      </c>
      <c r="L189" t="inlineStr">
        <is>
          <t>dlp/2025/may-1-muguet-oe-2025-05-01/eeyore</t>
        </is>
      </c>
    </row>
    <row r="190">
      <c r="A190" t="inlineStr">
        <is>
          <t>PHS-0062</t>
        </is>
      </c>
      <c r="B190" t="n">
        <v>3</v>
      </c>
      <c r="C190" t="inlineStr">
        <is>
          <t>Mushu</t>
        </is>
      </c>
      <c r="D190" t="inlineStr">
        <is>
          <t>Mushu – 1 May muguet (lily of the valley) open edition pins</t>
        </is>
      </c>
      <c r="E190" t="inlineStr"/>
      <c r="F190" t="inlineStr"/>
      <c r="G190" t="inlineStr">
        <is>
          <t>N</t>
        </is>
      </c>
      <c r="H190" t="inlineStr"/>
      <c r="I190" t="inlineStr">
        <is>
          <t>none</t>
        </is>
      </c>
      <c r="J190" t="inlineStr">
        <is>
          <t>candidate</t>
        </is>
      </c>
      <c r="K190" t="inlineStr">
        <is>
          <t>Low</t>
        </is>
      </c>
      <c r="L190" t="inlineStr">
        <is>
          <t>dlp/2025/may-1-muguet-oe-2025-05-01/mushu</t>
        </is>
      </c>
    </row>
    <row r="191">
      <c r="A191" t="inlineStr">
        <is>
          <t>PHS-0062</t>
        </is>
      </c>
      <c r="B191" t="n">
        <v>4</v>
      </c>
      <c r="C191" t="inlineStr">
        <is>
          <t>Thumper</t>
        </is>
      </c>
      <c r="D191" t="inlineStr">
        <is>
          <t>Thumper – 1 May muguet (lily of the valley) open edition pins</t>
        </is>
      </c>
      <c r="E191" t="inlineStr"/>
      <c r="F191" t="inlineStr"/>
      <c r="G191" t="inlineStr">
        <is>
          <t>N</t>
        </is>
      </c>
      <c r="H191" t="inlineStr"/>
      <c r="I191" t="inlineStr">
        <is>
          <t>none</t>
        </is>
      </c>
      <c r="J191" t="inlineStr">
        <is>
          <t>candidate</t>
        </is>
      </c>
      <c r="K191" t="inlineStr">
        <is>
          <t>Low</t>
        </is>
      </c>
      <c r="L191" t="inlineStr">
        <is>
          <t>dlp/2025/may-1-muguet-oe-2025-05-01/thumper</t>
        </is>
      </c>
    </row>
    <row r="192">
      <c r="A192" t="inlineStr">
        <is>
          <t>PHS-0062</t>
        </is>
      </c>
      <c r="B192" t="n">
        <v>5</v>
      </c>
      <c r="C192" t="inlineStr">
        <is>
          <t>Tinker Bell</t>
        </is>
      </c>
      <c r="D192" t="inlineStr">
        <is>
          <t>Tinker Bell – 1 May muguet (lily of the valley) open edition pins</t>
        </is>
      </c>
      <c r="E192" t="inlineStr"/>
      <c r="F192" t="inlineStr"/>
      <c r="G192" t="inlineStr">
        <is>
          <t>N</t>
        </is>
      </c>
      <c r="H192" t="inlineStr"/>
      <c r="I192" t="inlineStr">
        <is>
          <t>none</t>
        </is>
      </c>
      <c r="J192" t="inlineStr">
        <is>
          <t>candidate</t>
        </is>
      </c>
      <c r="K192" t="inlineStr">
        <is>
          <t>Medium</t>
        </is>
      </c>
      <c r="L192" t="inlineStr">
        <is>
          <t>dlp/2025/may-1-muguet-oe-2025-05-01/tinker-bell</t>
        </is>
      </c>
    </row>
    <row r="193">
      <c r="A193" t="inlineStr">
        <is>
          <t>PHS-0063</t>
        </is>
      </c>
      <c r="B193" t="n">
        <v>1</v>
      </c>
      <c r="C193" t="inlineStr">
        <is>
          <t>Chip; Dale</t>
        </is>
      </c>
      <c r="D193" t="inlineStr">
        <is>
          <t>Chip &amp; Dale – Disney Music Festival pins (May)</t>
        </is>
      </c>
      <c r="E193" t="inlineStr"/>
      <c r="F193" t="inlineStr"/>
      <c r="G193" t="inlineStr">
        <is>
          <t>N</t>
        </is>
      </c>
      <c r="H193" t="inlineStr"/>
      <c r="I193" t="inlineStr">
        <is>
          <t>none</t>
        </is>
      </c>
      <c r="J193" t="inlineStr">
        <is>
          <t>candidate</t>
        </is>
      </c>
      <c r="K193" t="inlineStr">
        <is>
          <t>Low</t>
        </is>
      </c>
      <c r="L193" t="inlineStr">
        <is>
          <t>dlp/2025/disney-music-festival-2025-05-03/chip-and-dale</t>
        </is>
      </c>
    </row>
    <row r="194">
      <c r="A194" t="inlineStr">
        <is>
          <t>PHS-0063</t>
        </is>
      </c>
      <c r="B194" t="n">
        <v>2</v>
      </c>
      <c r="C194" t="inlineStr">
        <is>
          <t>Mickey Mouse</t>
        </is>
      </c>
      <c r="D194" t="inlineStr">
        <is>
          <t>Mickey Mouse – Disney Music Festival pins (May)</t>
        </is>
      </c>
      <c r="E194" t="inlineStr"/>
      <c r="F194" t="inlineStr"/>
      <c r="G194" t="inlineStr">
        <is>
          <t>N</t>
        </is>
      </c>
      <c r="H194" t="inlineStr"/>
      <c r="I194" t="inlineStr">
        <is>
          <t>none</t>
        </is>
      </c>
      <c r="J194" t="inlineStr">
        <is>
          <t>candidate</t>
        </is>
      </c>
      <c r="K194" t="inlineStr">
        <is>
          <t>Low</t>
        </is>
      </c>
      <c r="L194" t="inlineStr">
        <is>
          <t>dlp/2025/disney-music-festival-2025-05-03/mickey</t>
        </is>
      </c>
    </row>
    <row r="195">
      <c r="A195" t="inlineStr">
        <is>
          <t>PHS-0063</t>
        </is>
      </c>
      <c r="B195" t="n">
        <v>3</v>
      </c>
      <c r="C195" t="inlineStr">
        <is>
          <t>Stitch</t>
        </is>
      </c>
      <c r="D195" t="inlineStr">
        <is>
          <t>Stitch – Disney Music Festival pins (May)</t>
        </is>
      </c>
      <c r="E195" t="inlineStr"/>
      <c r="F195" t="inlineStr"/>
      <c r="G195" t="inlineStr">
        <is>
          <t>N</t>
        </is>
      </c>
      <c r="H195" t="inlineStr"/>
      <c r="I195" t="inlineStr">
        <is>
          <t>none</t>
        </is>
      </c>
      <c r="J195" t="inlineStr">
        <is>
          <t>candidate</t>
        </is>
      </c>
      <c r="K195" t="inlineStr">
        <is>
          <t>Low</t>
        </is>
      </c>
      <c r="L195" t="inlineStr">
        <is>
          <t>dlp/2025/disney-music-festival-2025-05-03/stitch</t>
        </is>
      </c>
    </row>
    <row r="196">
      <c r="A196" t="inlineStr">
        <is>
          <t>PHS-0064</t>
        </is>
      </c>
      <c r="B196" t="n">
        <v>1</v>
      </c>
      <c r="C196" t="inlineStr">
        <is>
          <t>Tinker Bell</t>
        </is>
      </c>
      <c r="D196" t="inlineStr">
        <is>
          <t>Tinker Bell – Tinker Bell limited edition pin</t>
        </is>
      </c>
      <c r="E196" t="inlineStr"/>
      <c r="F196" t="inlineStr"/>
      <c r="G196" t="inlineStr">
        <is>
          <t>N</t>
        </is>
      </c>
      <c r="H196" t="inlineStr"/>
      <c r="I196" t="inlineStr">
        <is>
          <t>none</t>
        </is>
      </c>
      <c r="J196" t="inlineStr">
        <is>
          <t>candidate</t>
        </is>
      </c>
      <c r="K196" t="inlineStr">
        <is>
          <t>Medium</t>
        </is>
      </c>
      <c r="L196" t="inlineStr">
        <is>
          <t>dlp/2025/tinker-bell-le-2025-05-10/tinker-bell</t>
        </is>
      </c>
    </row>
    <row r="197">
      <c r="A197" t="inlineStr">
        <is>
          <t>PHS-0065</t>
        </is>
      </c>
      <c r="B197" t="n">
        <v>1</v>
      </c>
      <c r="C197" t="inlineStr">
        <is>
          <t>Winnie the Pooh</t>
        </is>
      </c>
      <c r="D197" t="inlineStr">
        <is>
          <t>Winnie the Pooh – Winnie the Pooh limited edition pin (May)</t>
        </is>
      </c>
      <c r="E197" t="inlineStr"/>
      <c r="F197" t="inlineStr"/>
      <c r="G197" t="inlineStr">
        <is>
          <t>N</t>
        </is>
      </c>
      <c r="H197" t="inlineStr"/>
      <c r="I197" t="inlineStr">
        <is>
          <t>none</t>
        </is>
      </c>
      <c r="J197" t="inlineStr">
        <is>
          <t>candidate</t>
        </is>
      </c>
      <c r="K197" t="inlineStr">
        <is>
          <t>Medium</t>
        </is>
      </c>
      <c r="L197" t="inlineStr">
        <is>
          <t>dlp/2025/winnie-the-pooh-le-2025-05-10/winnie-the-pooh</t>
        </is>
      </c>
    </row>
    <row r="198">
      <c r="A198" t="inlineStr">
        <is>
          <t>PHS-0066</t>
        </is>
      </c>
      <c r="B198" t="n">
        <v>1</v>
      </c>
      <c r="C198" t="inlineStr">
        <is>
          <t>Cruella de Vil; Roger</t>
        </is>
      </c>
      <c r="D198" t="inlineStr">
        <is>
          <t>Villains Cruella x Roger</t>
        </is>
      </c>
      <c r="E198" t="inlineStr"/>
      <c r="F198" t="n">
        <v>700</v>
      </c>
      <c r="G198" t="inlineStr">
        <is>
          <t>N</t>
        </is>
      </c>
      <c r="H198" t="inlineStr"/>
      <c r="I198" t="inlineStr">
        <is>
          <t>none</t>
        </is>
      </c>
      <c r="J198" t="inlineStr">
        <is>
          <t>candidate</t>
        </is>
      </c>
      <c r="K198" t="inlineStr">
        <is>
          <t>Medium</t>
        </is>
      </c>
      <c r="L198" t="inlineStr">
        <is>
          <t>dlp/2025/cruella-le-2025-05-24/cruella</t>
        </is>
      </c>
    </row>
    <row r="199">
      <c r="A199" t="inlineStr">
        <is>
          <t>PHS-0067</t>
        </is>
      </c>
      <c r="B199" t="n">
        <v>1</v>
      </c>
      <c r="C199" t="inlineStr">
        <is>
          <t>Chip; Mrs. Potts</t>
        </is>
      </c>
      <c r="D199" t="inlineStr">
        <is>
          <t>Chip &amp; Mrs. Potts – Mrs. Potts and Chip limited edition pin</t>
        </is>
      </c>
      <c r="E199" t="inlineStr"/>
      <c r="F199" t="inlineStr"/>
      <c r="G199" t="inlineStr">
        <is>
          <t>N</t>
        </is>
      </c>
      <c r="H199" t="inlineStr"/>
      <c r="I199" t="inlineStr">
        <is>
          <t>none</t>
        </is>
      </c>
      <c r="J199" t="inlineStr">
        <is>
          <t>candidate</t>
        </is>
      </c>
      <c r="K199" t="inlineStr">
        <is>
          <t>Low</t>
        </is>
      </c>
      <c r="L199" t="inlineStr">
        <is>
          <t>dlp/2025/mrs-potts-chip-le-2025-05-25/mrs-potts-and-chip</t>
        </is>
      </c>
    </row>
    <row r="200">
      <c r="A200" t="inlineStr">
        <is>
          <t>PHS-0068</t>
        </is>
      </c>
      <c r="B200" t="n">
        <v>1</v>
      </c>
      <c r="C200" t="inlineStr">
        <is>
          <t>Angel; Stitch</t>
        </is>
      </c>
      <c r="D200" t="inlineStr">
        <is>
          <t>Angel &amp; Stitch – Angel with Stitch limited edition pin</t>
        </is>
      </c>
      <c r="E200" t="inlineStr"/>
      <c r="F200" t="n">
        <v>700</v>
      </c>
      <c r="G200" t="inlineStr">
        <is>
          <t>N</t>
        </is>
      </c>
      <c r="H200" t="inlineStr"/>
      <c r="I200" t="inlineStr">
        <is>
          <t>none</t>
        </is>
      </c>
      <c r="J200" t="inlineStr">
        <is>
          <t>candidate</t>
        </is>
      </c>
      <c r="K200" t="inlineStr">
        <is>
          <t>Medium</t>
        </is>
      </c>
      <c r="L200" t="inlineStr">
        <is>
          <t>dlp/2025/angel-stitch-le-2025-05-31/angel-and-stitch</t>
        </is>
      </c>
    </row>
    <row r="201">
      <c r="A201" t="inlineStr">
        <is>
          <t>PHS-0069</t>
        </is>
      </c>
      <c r="B201" t="n">
        <v>1</v>
      </c>
      <c r="C201" t="inlineStr"/>
      <c r="D201" t="inlineStr">
        <is>
          <t>Peter Pan's Flight – Peter Pan's Flight attraction pins</t>
        </is>
      </c>
      <c r="E201" t="inlineStr"/>
      <c r="F201" t="inlineStr"/>
      <c r="G201" t="inlineStr">
        <is>
          <t>N</t>
        </is>
      </c>
      <c r="H201" t="inlineStr"/>
      <c r="I201" t="inlineStr">
        <is>
          <t>none</t>
        </is>
      </c>
      <c r="J201" t="inlineStr">
        <is>
          <t>candidate</t>
        </is>
      </c>
      <c r="K201" t="inlineStr">
        <is>
          <t>Medium</t>
        </is>
      </c>
      <c r="L201" t="inlineStr">
        <is>
          <t>dlp/2025/peter-pans-flight-2025-06-21/entrance-sign</t>
        </is>
      </c>
    </row>
    <row r="202">
      <c r="A202" t="inlineStr">
        <is>
          <t>PHS-0070</t>
        </is>
      </c>
      <c r="B202" t="n">
        <v>1</v>
      </c>
      <c r="C202" t="inlineStr">
        <is>
          <t>Stitch</t>
        </is>
      </c>
      <c r="D202" t="inlineStr">
        <is>
          <t>Stitch Experiment 626 Jumbo Pin</t>
        </is>
      </c>
      <c r="E202" t="inlineStr"/>
      <c r="F202" t="inlineStr"/>
      <c r="G202" t="inlineStr">
        <is>
          <t>N</t>
        </is>
      </c>
      <c r="H202" t="inlineStr"/>
      <c r="I202" t="inlineStr">
        <is>
          <t>none</t>
        </is>
      </c>
      <c r="J202" t="inlineStr">
        <is>
          <t>candidate</t>
        </is>
      </c>
      <c r="K202" t="inlineStr">
        <is>
          <t>Medium</t>
        </is>
      </c>
      <c r="L202" t="inlineStr">
        <is>
          <t>dlp/2025/stitch-day-jumbo-le-800/stitch</t>
        </is>
      </c>
    </row>
    <row r="203">
      <c r="A203" t="inlineStr">
        <is>
          <t>PHS-0071</t>
        </is>
      </c>
      <c r="B203" t="n">
        <v>1</v>
      </c>
      <c r="C203" t="inlineStr">
        <is>
          <t>Rafiki</t>
        </is>
      </c>
      <c r="D203" t="inlineStr">
        <is>
          <t>Rafiki – Rafiki limited edition pin (July)</t>
        </is>
      </c>
      <c r="E203" t="inlineStr"/>
      <c r="F203" t="inlineStr"/>
      <c r="G203" t="inlineStr">
        <is>
          <t>N</t>
        </is>
      </c>
      <c r="H203" t="inlineStr"/>
      <c r="I203" t="inlineStr">
        <is>
          <t>none</t>
        </is>
      </c>
      <c r="J203" t="inlineStr">
        <is>
          <t>candidate</t>
        </is>
      </c>
      <c r="K203" t="inlineStr">
        <is>
          <t>Medium</t>
        </is>
      </c>
      <c r="L203" t="inlineStr">
        <is>
          <t>dlp/2025/rafiki-le-2025-07/rafiki</t>
        </is>
      </c>
    </row>
    <row r="204">
      <c r="A204" t="inlineStr">
        <is>
          <t>PHS-0072</t>
        </is>
      </c>
      <c r="B204" t="n">
        <v>1</v>
      </c>
      <c r="C204" t="inlineStr">
        <is>
          <t>Chip; Dale</t>
        </is>
      </c>
      <c r="D204" t="inlineStr">
        <is>
          <t>Chip &amp; Dale – Disney Music Festival pins (Pueblo Trading Post exclusives)</t>
        </is>
      </c>
      <c r="E204" t="inlineStr"/>
      <c r="F204" t="inlineStr"/>
      <c r="G204" t="inlineStr">
        <is>
          <t>N</t>
        </is>
      </c>
      <c r="H204" t="inlineStr"/>
      <c r="I204" t="inlineStr">
        <is>
          <t>none</t>
        </is>
      </c>
      <c r="J204" t="inlineStr">
        <is>
          <t>candidate</t>
        </is>
      </c>
      <c r="K204" t="inlineStr">
        <is>
          <t>Low</t>
        </is>
      </c>
      <c r="L204" t="inlineStr">
        <is>
          <t>dlp/2025/disney-music-festival-pueblo-2025-07-05/chip-and-dale</t>
        </is>
      </c>
    </row>
    <row r="205">
      <c r="A205" t="inlineStr">
        <is>
          <t>PHS-0072</t>
        </is>
      </c>
      <c r="B205" t="n">
        <v>2</v>
      </c>
      <c r="C205" t="inlineStr">
        <is>
          <t>Daisy Duck; Donald Duck</t>
        </is>
      </c>
      <c r="D205" t="inlineStr">
        <is>
          <t>Daisy Duck &amp; Donald Duck – Disney Music Festival pins (Pueblo Trading Post exclusives)</t>
        </is>
      </c>
      <c r="E205" t="inlineStr"/>
      <c r="F205" t="inlineStr"/>
      <c r="G205" t="inlineStr">
        <is>
          <t>N</t>
        </is>
      </c>
      <c r="H205" t="inlineStr"/>
      <c r="I205" t="inlineStr">
        <is>
          <t>none</t>
        </is>
      </c>
      <c r="J205" t="inlineStr">
        <is>
          <t>candidate</t>
        </is>
      </c>
      <c r="K205" t="inlineStr">
        <is>
          <t>Low</t>
        </is>
      </c>
      <c r="L205" t="inlineStr">
        <is>
          <t>dlp/2025/disney-music-festival-pueblo-2025-07-05/donald-and-daisy-accordionists</t>
        </is>
      </c>
    </row>
    <row r="206">
      <c r="A206" t="inlineStr">
        <is>
          <t>PHS-0072</t>
        </is>
      </c>
      <c r="B206" t="n">
        <v>3</v>
      </c>
      <c r="C206" t="inlineStr"/>
      <c r="D206" t="inlineStr">
        <is>
          <t>Disney Music Festival logo</t>
        </is>
      </c>
      <c r="E206" t="inlineStr"/>
      <c r="F206" t="inlineStr"/>
      <c r="G206" t="inlineStr">
        <is>
          <t>N</t>
        </is>
      </c>
      <c r="H206" t="inlineStr"/>
      <c r="I206" t="inlineStr">
        <is>
          <t>none</t>
        </is>
      </c>
      <c r="J206" t="inlineStr">
        <is>
          <t>candidate</t>
        </is>
      </c>
      <c r="K206" t="inlineStr">
        <is>
          <t>Low</t>
        </is>
      </c>
      <c r="L206" t="inlineStr">
        <is>
          <t>dlp/2025/disney-music-festival-pueblo-2025-07-05/festival-logo</t>
        </is>
      </c>
    </row>
    <row r="207">
      <c r="A207" t="inlineStr">
        <is>
          <t>PHS-0072</t>
        </is>
      </c>
      <c r="B207" t="n">
        <v>4</v>
      </c>
      <c r="C207" t="inlineStr">
        <is>
          <t>Goofy</t>
        </is>
      </c>
      <c r="D207" t="inlineStr">
        <is>
          <t>Goofy – Disney Music Festival pins (Pueblo Trading Post exclusives)</t>
        </is>
      </c>
      <c r="E207" t="inlineStr"/>
      <c r="F207" t="inlineStr"/>
      <c r="G207" t="inlineStr">
        <is>
          <t>N</t>
        </is>
      </c>
      <c r="H207" t="inlineStr"/>
      <c r="I207" t="inlineStr">
        <is>
          <t>none</t>
        </is>
      </c>
      <c r="J207" t="inlineStr">
        <is>
          <t>candidate</t>
        </is>
      </c>
      <c r="K207" t="inlineStr">
        <is>
          <t>Low</t>
        </is>
      </c>
      <c r="L207" t="inlineStr">
        <is>
          <t>dlp/2025/disney-music-festival-pueblo-2025-07-05/goofy-conductor</t>
        </is>
      </c>
    </row>
    <row r="208">
      <c r="A208" t="inlineStr">
        <is>
          <t>PHS-0072</t>
        </is>
      </c>
      <c r="B208" t="n">
        <v>5</v>
      </c>
      <c r="C208" t="inlineStr">
        <is>
          <t>Mickey Mouse; Minnie Mouse</t>
        </is>
      </c>
      <c r="D208" t="inlineStr">
        <is>
          <t>Mickey Mouse &amp; Minnie Mouse – Disney Music Festival pins (Pueblo Trading Post exclusives)</t>
        </is>
      </c>
      <c r="E208" t="inlineStr"/>
      <c r="F208" t="inlineStr"/>
      <c r="G208" t="inlineStr">
        <is>
          <t>N</t>
        </is>
      </c>
      <c r="H208" t="inlineStr"/>
      <c r="I208" t="inlineStr">
        <is>
          <t>none</t>
        </is>
      </c>
      <c r="J208" t="inlineStr">
        <is>
          <t>candidate</t>
        </is>
      </c>
      <c r="K208" t="inlineStr">
        <is>
          <t>Low</t>
        </is>
      </c>
      <c r="L208" t="inlineStr">
        <is>
          <t>dlp/2025/disney-music-festival-pueblo-2025-07-05/mickey-and-minnie-bandleaders</t>
        </is>
      </c>
    </row>
    <row r="209">
      <c r="A209" t="inlineStr">
        <is>
          <t>PHS-0072</t>
        </is>
      </c>
      <c r="B209" t="n">
        <v>6</v>
      </c>
      <c r="C209" t="inlineStr">
        <is>
          <t>Moana</t>
        </is>
      </c>
      <c r="D209" t="inlineStr">
        <is>
          <t>Moana – Disney Music Festival pins (Pueblo Trading Post exclusives)</t>
        </is>
      </c>
      <c r="E209" t="inlineStr"/>
      <c r="F209" t="inlineStr"/>
      <c r="G209" t="inlineStr">
        <is>
          <t>N</t>
        </is>
      </c>
      <c r="H209" t="inlineStr"/>
      <c r="I209" t="inlineStr">
        <is>
          <t>none</t>
        </is>
      </c>
      <c r="J209" t="inlineStr">
        <is>
          <t>candidate</t>
        </is>
      </c>
      <c r="K209" t="inlineStr">
        <is>
          <t>Low</t>
        </is>
      </c>
      <c r="L209" t="inlineStr">
        <is>
          <t>dlp/2025/disney-music-festival-pueblo-2025-07-05/moana</t>
        </is>
      </c>
    </row>
    <row r="210">
      <c r="A210" t="inlineStr">
        <is>
          <t>PHS-0072</t>
        </is>
      </c>
      <c r="B210" t="n">
        <v>7</v>
      </c>
      <c r="C210" t="inlineStr">
        <is>
          <t>Stitch</t>
        </is>
      </c>
      <c r="D210" t="inlineStr">
        <is>
          <t>Stitch – Disney Music Festival pins (Pueblo Trading Post exclusives)</t>
        </is>
      </c>
      <c r="E210" t="inlineStr"/>
      <c r="F210" t="inlineStr"/>
      <c r="G210" t="inlineStr">
        <is>
          <t>N</t>
        </is>
      </c>
      <c r="H210" t="inlineStr"/>
      <c r="I210" t="inlineStr">
        <is>
          <t>none</t>
        </is>
      </c>
      <c r="J210" t="inlineStr">
        <is>
          <t>candidate</t>
        </is>
      </c>
      <c r="K210" t="inlineStr">
        <is>
          <t>Low</t>
        </is>
      </c>
      <c r="L210" t="inlineStr">
        <is>
          <t>dlp/2025/disney-music-festival-pueblo-2025-07-05/stitch</t>
        </is>
      </c>
    </row>
    <row r="211">
      <c r="A211" t="inlineStr">
        <is>
          <t>PHS-0072</t>
        </is>
      </c>
      <c r="B211" t="n">
        <v>8</v>
      </c>
      <c r="C211" t="inlineStr">
        <is>
          <t>Pumbaa; Timon</t>
        </is>
      </c>
      <c r="D211" t="inlineStr">
        <is>
          <t>Pumbaa &amp; Timon – Disney Music Festival pins (Pueblo Trading Post exclusives)</t>
        </is>
      </c>
      <c r="E211" t="inlineStr"/>
      <c r="F211" t="inlineStr"/>
      <c r="G211" t="inlineStr">
        <is>
          <t>N</t>
        </is>
      </c>
      <c r="H211" t="inlineStr"/>
      <c r="I211" t="inlineStr">
        <is>
          <t>none</t>
        </is>
      </c>
      <c r="J211" t="inlineStr">
        <is>
          <t>candidate</t>
        </is>
      </c>
      <c r="K211" t="inlineStr">
        <is>
          <t>Low</t>
        </is>
      </c>
      <c r="L211" t="inlineStr">
        <is>
          <t>dlp/2025/disney-music-festival-pueblo-2025-07-05/timon-and-pumbaa</t>
        </is>
      </c>
    </row>
    <row r="212">
      <c r="A212" t="inlineStr">
        <is>
          <t>PHS-0073</t>
        </is>
      </c>
      <c r="B212" t="n">
        <v>1</v>
      </c>
      <c r="C212" t="inlineStr">
        <is>
          <t>Goofy; Rafiki</t>
        </is>
      </c>
      <c r="D212" t="inlineStr">
        <is>
          <t>Goofy &amp; Rafiki – Goofy limited edition pin (July)</t>
        </is>
      </c>
      <c r="E212" t="inlineStr"/>
      <c r="F212" t="inlineStr"/>
      <c r="G212" t="inlineStr">
        <is>
          <t>N</t>
        </is>
      </c>
      <c r="H212" t="inlineStr"/>
      <c r="I212" t="inlineStr">
        <is>
          <t>none</t>
        </is>
      </c>
      <c r="J212" t="inlineStr">
        <is>
          <t>candidate</t>
        </is>
      </c>
      <c r="K212" t="inlineStr">
        <is>
          <t>Medium</t>
        </is>
      </c>
      <c r="L212" t="inlineStr">
        <is>
          <t>dlp/2025/goofy-le-2025-07/goofy</t>
        </is>
      </c>
    </row>
    <row r="213">
      <c r="A213" t="inlineStr">
        <is>
          <t>PHS-0073</t>
        </is>
      </c>
      <c r="B213" t="n">
        <v>2</v>
      </c>
      <c r="C213" t="inlineStr">
        <is>
          <t>Rafiki</t>
        </is>
      </c>
      <c r="D213" t="inlineStr">
        <is>
          <t>Rafiki – Goofy limited edition pin (July)</t>
        </is>
      </c>
      <c r="E213" t="inlineStr"/>
      <c r="F213" t="inlineStr"/>
      <c r="G213" t="inlineStr">
        <is>
          <t>N</t>
        </is>
      </c>
      <c r="H213" t="inlineStr"/>
      <c r="I213" t="inlineStr">
        <is>
          <t>none</t>
        </is>
      </c>
      <c r="J213" t="inlineStr">
        <is>
          <t>candidate</t>
        </is>
      </c>
      <c r="K213" t="inlineStr">
        <is>
          <t>Medium</t>
        </is>
      </c>
      <c r="L213" t="inlineStr">
        <is>
          <t>dlp/2025/goofy-le-2025-07/rafiki</t>
        </is>
      </c>
    </row>
    <row r="214">
      <c r="A214" t="inlineStr">
        <is>
          <t>PHS-0074</t>
        </is>
      </c>
      <c r="B214" t="n">
        <v>1</v>
      </c>
      <c r="C214" t="inlineStr">
        <is>
          <t>Quasimodo</t>
        </is>
      </c>
      <c r="D214" t="inlineStr">
        <is>
          <t>Quasimodo – Hunchback of Notre Dame Bastille Day limited edition pin</t>
        </is>
      </c>
      <c r="E214" t="inlineStr"/>
      <c r="F214" t="inlineStr"/>
      <c r="G214" t="inlineStr">
        <is>
          <t>N</t>
        </is>
      </c>
      <c r="H214" t="inlineStr"/>
      <c r="I214" t="inlineStr">
        <is>
          <t>none</t>
        </is>
      </c>
      <c r="J214" t="inlineStr">
        <is>
          <t>candidate</t>
        </is>
      </c>
      <c r="K214" t="inlineStr">
        <is>
          <t>Medium</t>
        </is>
      </c>
      <c r="L214" t="inlineStr">
        <is>
          <t>dlp/2025/hunchback-bastille-day-le-2025-07-14/quasimodo</t>
        </is>
      </c>
    </row>
    <row r="215">
      <c r="A215" t="inlineStr">
        <is>
          <t>PHS-0075</t>
        </is>
      </c>
      <c r="B215" t="n">
        <v>1</v>
      </c>
      <c r="C215" t="inlineStr">
        <is>
          <t>Ariel; Ursula</t>
        </is>
      </c>
      <c r="D215" t="inlineStr">
        <is>
          <t>Ariel &amp; Ursula – Ursula and Ariel limited edition pin</t>
        </is>
      </c>
      <c r="E215" t="inlineStr"/>
      <c r="F215" t="inlineStr"/>
      <c r="G215" t="inlineStr">
        <is>
          <t>N</t>
        </is>
      </c>
      <c r="H215" t="inlineStr"/>
      <c r="I215" t="inlineStr">
        <is>
          <t>none</t>
        </is>
      </c>
      <c r="J215" t="inlineStr">
        <is>
          <t>candidate</t>
        </is>
      </c>
      <c r="K215" t="inlineStr">
        <is>
          <t>Medium</t>
        </is>
      </c>
      <c r="L215" t="inlineStr">
        <is>
          <t>dlp/2025/ursula-ariel-le-2025-07-14/ursula-and-ariel</t>
        </is>
      </c>
    </row>
    <row r="216">
      <c r="A216" t="inlineStr">
        <is>
          <t>PHS-0076</t>
        </is>
      </c>
      <c r="B216" t="n">
        <v>1</v>
      </c>
      <c r="C216" t="inlineStr">
        <is>
          <t>Carl Fredricksen</t>
        </is>
      </c>
      <c r="D216" t="inlineStr">
        <is>
          <t>Carl Fredricksen – Up pin set</t>
        </is>
      </c>
      <c r="E216" t="inlineStr"/>
      <c r="F216" t="inlineStr"/>
      <c r="G216" t="inlineStr">
        <is>
          <t>N</t>
        </is>
      </c>
      <c r="H216" t="inlineStr"/>
      <c r="I216" t="inlineStr">
        <is>
          <t>none</t>
        </is>
      </c>
      <c r="J216" t="inlineStr">
        <is>
          <t>candidate</t>
        </is>
      </c>
      <c r="K216" t="inlineStr">
        <is>
          <t>Low</t>
        </is>
      </c>
      <c r="L216" t="inlineStr">
        <is>
          <t>dlp/2025/up-2025-07-19/carl</t>
        </is>
      </c>
    </row>
    <row r="217">
      <c r="A217" t="inlineStr">
        <is>
          <t>PHS-0076</t>
        </is>
      </c>
      <c r="B217" t="n">
        <v>2</v>
      </c>
      <c r="C217" t="inlineStr">
        <is>
          <t>Dug</t>
        </is>
      </c>
      <c r="D217" t="inlineStr">
        <is>
          <t>Dug – Up pin set</t>
        </is>
      </c>
      <c r="E217" t="inlineStr"/>
      <c r="F217" t="inlineStr"/>
      <c r="G217" t="inlineStr">
        <is>
          <t>N</t>
        </is>
      </c>
      <c r="H217" t="inlineStr"/>
      <c r="I217" t="inlineStr">
        <is>
          <t>none</t>
        </is>
      </c>
      <c r="J217" t="inlineStr">
        <is>
          <t>candidate</t>
        </is>
      </c>
      <c r="K217" t="inlineStr">
        <is>
          <t>Low</t>
        </is>
      </c>
      <c r="L217" t="inlineStr">
        <is>
          <t>dlp/2025/up-2025-07-19/dug</t>
        </is>
      </c>
    </row>
    <row r="218">
      <c r="A218" t="inlineStr">
        <is>
          <t>PHS-0076</t>
        </is>
      </c>
      <c r="B218" t="n">
        <v>3</v>
      </c>
      <c r="C218" t="inlineStr"/>
      <c r="D218" t="inlineStr">
        <is>
          <t>Up house</t>
        </is>
      </c>
      <c r="E218" t="inlineStr"/>
      <c r="F218" t="inlineStr"/>
      <c r="G218" t="inlineStr">
        <is>
          <t>N</t>
        </is>
      </c>
      <c r="H218" t="inlineStr"/>
      <c r="I218" t="inlineStr">
        <is>
          <t>none</t>
        </is>
      </c>
      <c r="J218" t="inlineStr">
        <is>
          <t>candidate</t>
        </is>
      </c>
      <c r="K218" t="inlineStr">
        <is>
          <t>Low</t>
        </is>
      </c>
      <c r="L218" t="inlineStr">
        <is>
          <t>dlp/2025/up-2025-07-19/house</t>
        </is>
      </c>
    </row>
    <row r="219">
      <c r="A219" t="inlineStr">
        <is>
          <t>PHS-0076</t>
        </is>
      </c>
      <c r="B219" t="n">
        <v>4</v>
      </c>
      <c r="C219" t="inlineStr"/>
      <c r="D219" t="inlineStr">
        <is>
          <t>My Adventure Book</t>
        </is>
      </c>
      <c r="E219" t="inlineStr"/>
      <c r="F219" t="inlineStr"/>
      <c r="G219" t="inlineStr">
        <is>
          <t>N</t>
        </is>
      </c>
      <c r="H219" t="inlineStr"/>
      <c r="I219" t="inlineStr">
        <is>
          <t>none</t>
        </is>
      </c>
      <c r="J219" t="inlineStr">
        <is>
          <t>candidate</t>
        </is>
      </c>
      <c r="K219" t="inlineStr">
        <is>
          <t>Low</t>
        </is>
      </c>
      <c r="L219" t="inlineStr">
        <is>
          <t>dlp/2025/up-2025-07-19/my-adventure-book</t>
        </is>
      </c>
    </row>
    <row r="220">
      <c r="A220" t="inlineStr">
        <is>
          <t>PHS-0076</t>
        </is>
      </c>
      <c r="B220" t="n">
        <v>5</v>
      </c>
      <c r="C220" t="inlineStr">
        <is>
          <t>Russell</t>
        </is>
      </c>
      <c r="D220" t="inlineStr">
        <is>
          <t>Russell – Up pin set</t>
        </is>
      </c>
      <c r="E220" t="inlineStr"/>
      <c r="F220" t="inlineStr"/>
      <c r="G220" t="inlineStr">
        <is>
          <t>N</t>
        </is>
      </c>
      <c r="H220" t="inlineStr"/>
      <c r="I220" t="inlineStr">
        <is>
          <t>none</t>
        </is>
      </c>
      <c r="J220" t="inlineStr">
        <is>
          <t>candidate</t>
        </is>
      </c>
      <c r="K220" t="inlineStr">
        <is>
          <t>Low</t>
        </is>
      </c>
      <c r="L220" t="inlineStr">
        <is>
          <t>dlp/2025/up-2025-07-19/russell</t>
        </is>
      </c>
    </row>
    <row r="221">
      <c r="A221" t="inlineStr">
        <is>
          <t>PHS-0077</t>
        </is>
      </c>
      <c r="B221" t="n">
        <v>1</v>
      </c>
      <c r="C221" t="inlineStr">
        <is>
          <t>Perdita; Pongo</t>
        </is>
      </c>
      <c r="D221" t="inlineStr">
        <is>
          <t>Perdita &amp; Pongo – Pongo and Perdita limited edition pin</t>
        </is>
      </c>
      <c r="E221" t="inlineStr"/>
      <c r="F221" t="inlineStr"/>
      <c r="G221" t="inlineStr">
        <is>
          <t>N</t>
        </is>
      </c>
      <c r="H221" t="inlineStr"/>
      <c r="I221" t="inlineStr">
        <is>
          <t>none</t>
        </is>
      </c>
      <c r="J221" t="inlineStr">
        <is>
          <t>candidate</t>
        </is>
      </c>
      <c r="K221" t="inlineStr">
        <is>
          <t>Medium</t>
        </is>
      </c>
      <c r="L221" t="inlineStr">
        <is>
          <t>dlp/2025/pongo-perdita-le-2025-07-26/pongo-and-perdita</t>
        </is>
      </c>
    </row>
    <row r="222">
      <c r="A222" t="inlineStr">
        <is>
          <t>PHS-0078</t>
        </is>
      </c>
      <c r="B222" t="n">
        <v>1</v>
      </c>
      <c r="C222" t="inlineStr">
        <is>
          <t>Hades; Hercules</t>
        </is>
      </c>
      <c r="D222" t="inlineStr">
        <is>
          <t>Hades &amp; Hercules – Hades limited edition pin</t>
        </is>
      </c>
      <c r="E222" t="inlineStr"/>
      <c r="F222" t="n">
        <v>700</v>
      </c>
      <c r="G222" t="inlineStr">
        <is>
          <t>N</t>
        </is>
      </c>
      <c r="H222" t="inlineStr"/>
      <c r="I222" t="inlineStr">
        <is>
          <t>none</t>
        </is>
      </c>
      <c r="J222" t="inlineStr">
        <is>
          <t>candidate</t>
        </is>
      </c>
      <c r="K222" t="inlineStr">
        <is>
          <t>Medium</t>
        </is>
      </c>
      <c r="L222" t="inlineStr">
        <is>
          <t>dlp/2025/hades-le-700/hades</t>
        </is>
      </c>
    </row>
    <row r="223">
      <c r="A223" t="inlineStr">
        <is>
          <t>PHS-0079</t>
        </is>
      </c>
      <c r="B223" t="n">
        <v>1</v>
      </c>
      <c r="C223" t="inlineStr">
        <is>
          <t>Abu</t>
        </is>
      </c>
      <c r="D223" t="inlineStr">
        <is>
          <t>Abu – End-of-summer open edition pins</t>
        </is>
      </c>
      <c r="E223" t="inlineStr"/>
      <c r="F223" t="inlineStr"/>
      <c r="G223" t="inlineStr">
        <is>
          <t>N</t>
        </is>
      </c>
      <c r="H223" t="inlineStr"/>
      <c r="I223" t="inlineStr">
        <is>
          <t>none</t>
        </is>
      </c>
      <c r="J223" t="inlineStr">
        <is>
          <t>candidate</t>
        </is>
      </c>
      <c r="K223" t="inlineStr">
        <is>
          <t>Medium</t>
        </is>
      </c>
      <c r="L223" t="inlineStr">
        <is>
          <t>dlp/2025/lion-king-aladdin-pooh-end-of-summer-oe-2025-08/abu</t>
        </is>
      </c>
    </row>
    <row r="224">
      <c r="A224" t="inlineStr">
        <is>
          <t>PHS-0079</t>
        </is>
      </c>
      <c r="B224" t="n">
        <v>2</v>
      </c>
      <c r="C224" t="inlineStr">
        <is>
          <t>Nala</t>
        </is>
      </c>
      <c r="D224" t="inlineStr">
        <is>
          <t>Nala – End-of-summer open edition pins</t>
        </is>
      </c>
      <c r="E224" t="inlineStr"/>
      <c r="F224" t="inlineStr"/>
      <c r="G224" t="inlineStr">
        <is>
          <t>N</t>
        </is>
      </c>
      <c r="H224" t="inlineStr"/>
      <c r="I224" t="inlineStr">
        <is>
          <t>none</t>
        </is>
      </c>
      <c r="J224" t="inlineStr">
        <is>
          <t>candidate</t>
        </is>
      </c>
      <c r="K224" t="inlineStr">
        <is>
          <t>Medium</t>
        </is>
      </c>
      <c r="L224" t="inlineStr">
        <is>
          <t>dlp/2025/lion-king-aladdin-pooh-end-of-summer-oe-2025-08/nala</t>
        </is>
      </c>
    </row>
    <row r="225">
      <c r="A225" t="inlineStr">
        <is>
          <t>PHS-0079</t>
        </is>
      </c>
      <c r="B225" t="n">
        <v>3</v>
      </c>
      <c r="C225" t="inlineStr">
        <is>
          <t>Rajah</t>
        </is>
      </c>
      <c r="D225" t="inlineStr">
        <is>
          <t>Rajah – End-of-summer open edition pins</t>
        </is>
      </c>
      <c r="E225" t="inlineStr"/>
      <c r="F225" t="inlineStr"/>
      <c r="G225" t="inlineStr">
        <is>
          <t>N</t>
        </is>
      </c>
      <c r="H225" t="inlineStr"/>
      <c r="I225" t="inlineStr">
        <is>
          <t>none</t>
        </is>
      </c>
      <c r="J225" t="inlineStr">
        <is>
          <t>candidate</t>
        </is>
      </c>
      <c r="K225" t="inlineStr">
        <is>
          <t>Medium</t>
        </is>
      </c>
      <c r="L225" t="inlineStr">
        <is>
          <t>dlp/2025/lion-king-aladdin-pooh-end-of-summer-oe-2025-08/rajah</t>
        </is>
      </c>
    </row>
    <row r="226">
      <c r="A226" t="inlineStr">
        <is>
          <t>PHS-0079</t>
        </is>
      </c>
      <c r="B226" t="n">
        <v>4</v>
      </c>
      <c r="C226" t="inlineStr">
        <is>
          <t>Simba</t>
        </is>
      </c>
      <c r="D226" t="inlineStr">
        <is>
          <t>Simba – End-of-summer open edition pins</t>
        </is>
      </c>
      <c r="E226" t="inlineStr"/>
      <c r="F226" t="inlineStr"/>
      <c r="G226" t="inlineStr">
        <is>
          <t>N</t>
        </is>
      </c>
      <c r="H226" t="inlineStr"/>
      <c r="I226" t="inlineStr">
        <is>
          <t>none</t>
        </is>
      </c>
      <c r="J226" t="inlineStr">
        <is>
          <t>candidate</t>
        </is>
      </c>
      <c r="K226" t="inlineStr">
        <is>
          <t>Medium</t>
        </is>
      </c>
      <c r="L226" t="inlineStr">
        <is>
          <t>dlp/2025/lion-king-aladdin-pooh-end-of-summer-oe-2025-08/simba</t>
        </is>
      </c>
    </row>
    <row r="227">
      <c r="A227" t="inlineStr">
        <is>
          <t>PHS-0080</t>
        </is>
      </c>
      <c r="B227" t="n">
        <v>1</v>
      </c>
      <c r="C227" t="inlineStr">
        <is>
          <t>Naveen; Tiana</t>
        </is>
      </c>
      <c r="D227" t="inlineStr">
        <is>
          <t>Naveen &amp; Tiana – Tiana and Naveen frogs limited edition pin</t>
        </is>
      </c>
      <c r="E227" t="inlineStr"/>
      <c r="F227" t="inlineStr"/>
      <c r="G227" t="inlineStr">
        <is>
          <t>N</t>
        </is>
      </c>
      <c r="H227" t="inlineStr"/>
      <c r="I227" t="inlineStr">
        <is>
          <t>none</t>
        </is>
      </c>
      <c r="J227" t="inlineStr">
        <is>
          <t>candidate</t>
        </is>
      </c>
      <c r="K227" t="inlineStr">
        <is>
          <t>Medium</t>
        </is>
      </c>
      <c r="L227" t="inlineStr">
        <is>
          <t>dlp/2025/tiana-naveen-frogs-le-700/tiana-and-naveen-frogs</t>
        </is>
      </c>
    </row>
    <row r="228">
      <c r="A228" t="inlineStr">
        <is>
          <t>PHS-0081</t>
        </is>
      </c>
      <c r="B228" t="n">
        <v>1</v>
      </c>
      <c r="C228" t="inlineStr">
        <is>
          <t>Bruno</t>
        </is>
      </c>
      <c r="D228" t="inlineStr">
        <is>
          <t>Bruno – Encanto character door pins</t>
        </is>
      </c>
      <c r="E228" t="inlineStr"/>
      <c r="F228" t="inlineStr"/>
      <c r="G228" t="inlineStr">
        <is>
          <t>N</t>
        </is>
      </c>
      <c r="H228" t="inlineStr"/>
      <c r="I228" t="inlineStr">
        <is>
          <t>none</t>
        </is>
      </c>
      <c r="J228" t="inlineStr">
        <is>
          <t>candidate</t>
        </is>
      </c>
      <c r="K228" t="inlineStr">
        <is>
          <t>Low</t>
        </is>
      </c>
      <c r="L228" t="inlineStr">
        <is>
          <t>dlp/2025/encanto-doors-oe-2025-08-09/bruno</t>
        </is>
      </c>
    </row>
    <row r="229">
      <c r="A229" t="inlineStr">
        <is>
          <t>PHS-0081</t>
        </is>
      </c>
      <c r="B229" t="n">
        <v>2</v>
      </c>
      <c r="C229" t="inlineStr">
        <is>
          <t>Dolores</t>
        </is>
      </c>
      <c r="D229" t="inlineStr">
        <is>
          <t>Dolores – Encanto character door pins</t>
        </is>
      </c>
      <c r="E229" t="inlineStr"/>
      <c r="F229" t="inlineStr"/>
      <c r="G229" t="inlineStr">
        <is>
          <t>N</t>
        </is>
      </c>
      <c r="H229" t="inlineStr"/>
      <c r="I229" t="inlineStr">
        <is>
          <t>none</t>
        </is>
      </c>
      <c r="J229" t="inlineStr">
        <is>
          <t>candidate</t>
        </is>
      </c>
      <c r="K229" t="inlineStr">
        <is>
          <t>Low</t>
        </is>
      </c>
      <c r="L229" t="inlineStr">
        <is>
          <t>dlp/2025/encanto-doors-oe-2025-08-09/dolores</t>
        </is>
      </c>
    </row>
    <row r="230">
      <c r="A230" t="inlineStr">
        <is>
          <t>PHS-0081</t>
        </is>
      </c>
      <c r="B230" t="n">
        <v>3</v>
      </c>
      <c r="C230" t="inlineStr">
        <is>
          <t>Isabela</t>
        </is>
      </c>
      <c r="D230" t="inlineStr">
        <is>
          <t>Isabela – Encanto character door pins</t>
        </is>
      </c>
      <c r="E230" t="inlineStr"/>
      <c r="F230" t="inlineStr"/>
      <c r="G230" t="inlineStr">
        <is>
          <t>N</t>
        </is>
      </c>
      <c r="H230" t="inlineStr"/>
      <c r="I230" t="inlineStr">
        <is>
          <t>none</t>
        </is>
      </c>
      <c r="J230" t="inlineStr">
        <is>
          <t>candidate</t>
        </is>
      </c>
      <c r="K230" t="inlineStr">
        <is>
          <t>Low</t>
        </is>
      </c>
      <c r="L230" t="inlineStr">
        <is>
          <t>dlp/2025/encanto-doors-oe-2025-08-09/isabela</t>
        </is>
      </c>
    </row>
    <row r="231">
      <c r="A231" t="inlineStr">
        <is>
          <t>PHS-0081</t>
        </is>
      </c>
      <c r="B231" t="n">
        <v>4</v>
      </c>
      <c r="C231" t="inlineStr">
        <is>
          <t>Luisa</t>
        </is>
      </c>
      <c r="D231" t="inlineStr">
        <is>
          <t>Luisa – Encanto character door pins</t>
        </is>
      </c>
      <c r="E231" t="inlineStr"/>
      <c r="F231" t="inlineStr"/>
      <c r="G231" t="inlineStr">
        <is>
          <t>N</t>
        </is>
      </c>
      <c r="H231" t="inlineStr"/>
      <c r="I231" t="inlineStr">
        <is>
          <t>none</t>
        </is>
      </c>
      <c r="J231" t="inlineStr">
        <is>
          <t>candidate</t>
        </is>
      </c>
      <c r="K231" t="inlineStr">
        <is>
          <t>Low</t>
        </is>
      </c>
      <c r="L231" t="inlineStr">
        <is>
          <t>dlp/2025/encanto-doors-oe-2025-08-09/luisa</t>
        </is>
      </c>
    </row>
    <row r="232">
      <c r="A232" t="inlineStr">
        <is>
          <t>PHS-0081</t>
        </is>
      </c>
      <c r="B232" t="n">
        <v>5</v>
      </c>
      <c r="C232" t="inlineStr">
        <is>
          <t>Pepa</t>
        </is>
      </c>
      <c r="D232" t="inlineStr">
        <is>
          <t>Pepa – Encanto character door pins</t>
        </is>
      </c>
      <c r="E232" t="inlineStr"/>
      <c r="F232" t="inlineStr"/>
      <c r="G232" t="inlineStr">
        <is>
          <t>N</t>
        </is>
      </c>
      <c r="H232" t="inlineStr"/>
      <c r="I232" t="inlineStr">
        <is>
          <t>none</t>
        </is>
      </c>
      <c r="J232" t="inlineStr">
        <is>
          <t>candidate</t>
        </is>
      </c>
      <c r="K232" t="inlineStr">
        <is>
          <t>Low</t>
        </is>
      </c>
      <c r="L232" t="inlineStr">
        <is>
          <t>dlp/2025/encanto-doors-oe-2025-08-09/pepa</t>
        </is>
      </c>
    </row>
    <row r="233">
      <c r="A233" t="inlineStr">
        <is>
          <t>PHS-0082</t>
        </is>
      </c>
      <c r="B233" t="n">
        <v>1</v>
      </c>
      <c r="C233" t="inlineStr">
        <is>
          <t>Beagle Boys</t>
        </is>
      </c>
      <c r="D233" t="inlineStr">
        <is>
          <t>Beagle Boys – Picsou Magazine pins</t>
        </is>
      </c>
      <c r="E233" t="inlineStr"/>
      <c r="F233" t="inlineStr"/>
      <c r="G233" t="inlineStr">
        <is>
          <t>N</t>
        </is>
      </c>
      <c r="H233" t="inlineStr"/>
      <c r="I233" t="inlineStr">
        <is>
          <t>none</t>
        </is>
      </c>
      <c r="J233" t="inlineStr">
        <is>
          <t>candidate</t>
        </is>
      </c>
      <c r="K233" t="inlineStr">
        <is>
          <t>Low</t>
        </is>
      </c>
      <c r="L233" t="inlineStr">
        <is>
          <t>dlp/2025/picsou-magazine-2025-08-16/beagle-boys</t>
        </is>
      </c>
    </row>
    <row r="234">
      <c r="A234" t="inlineStr">
        <is>
          <t>PHS-0082</t>
        </is>
      </c>
      <c r="B234" t="n">
        <v>2</v>
      </c>
      <c r="C234" t="inlineStr">
        <is>
          <t>Donald Duck</t>
        </is>
      </c>
      <c r="D234" t="inlineStr">
        <is>
          <t>Donald Duck – Picsou Magazine pins</t>
        </is>
      </c>
      <c r="E234" t="inlineStr"/>
      <c r="F234" t="inlineStr"/>
      <c r="G234" t="inlineStr">
        <is>
          <t>N</t>
        </is>
      </c>
      <c r="H234" t="inlineStr"/>
      <c r="I234" t="inlineStr">
        <is>
          <t>none</t>
        </is>
      </c>
      <c r="J234" t="inlineStr">
        <is>
          <t>candidate</t>
        </is>
      </c>
      <c r="K234" t="inlineStr">
        <is>
          <t>Low</t>
        </is>
      </c>
      <c r="L234" t="inlineStr">
        <is>
          <t>dlp/2025/picsou-magazine-2025-08-16/donald</t>
        </is>
      </c>
    </row>
    <row r="235">
      <c r="A235" t="inlineStr">
        <is>
          <t>PHS-0082</t>
        </is>
      </c>
      <c r="B235" t="n">
        <v>3</v>
      </c>
      <c r="C235" t="inlineStr">
        <is>
          <t>Scrooge McDuck</t>
        </is>
      </c>
      <c r="D235" t="inlineStr">
        <is>
          <t>Scrooge McDuck – Picsou Magazine pins</t>
        </is>
      </c>
      <c r="E235" t="inlineStr"/>
      <c r="F235" t="inlineStr"/>
      <c r="G235" t="inlineStr">
        <is>
          <t>N</t>
        </is>
      </c>
      <c r="H235" t="inlineStr"/>
      <c r="I235" t="inlineStr">
        <is>
          <t>none</t>
        </is>
      </c>
      <c r="J235" t="inlineStr">
        <is>
          <t>candidate</t>
        </is>
      </c>
      <c r="K235" t="inlineStr">
        <is>
          <t>Low</t>
        </is>
      </c>
      <c r="L235" t="inlineStr">
        <is>
          <t>dlp/2025/picsou-magazine-2025-08-16/scrooge</t>
        </is>
      </c>
    </row>
    <row r="236">
      <c r="A236" t="inlineStr">
        <is>
          <t>PHS-0082</t>
        </is>
      </c>
      <c r="B236" t="n">
        <v>4</v>
      </c>
      <c r="C236" t="inlineStr">
        <is>
          <t>Dewey; Huey; Louie; Scrooge McDuck</t>
        </is>
      </c>
      <c r="D236" t="inlineStr">
        <is>
          <t>Dewey &amp; Huey &amp; Louie &amp; Scrooge McDuck – Picsou Magazine pins</t>
        </is>
      </c>
      <c r="E236" t="inlineStr"/>
      <c r="F236" t="inlineStr"/>
      <c r="G236" t="inlineStr">
        <is>
          <t>N</t>
        </is>
      </c>
      <c r="H236" t="inlineStr"/>
      <c r="I236" t="inlineStr">
        <is>
          <t>none</t>
        </is>
      </c>
      <c r="J236" t="inlineStr">
        <is>
          <t>candidate</t>
        </is>
      </c>
      <c r="K236" t="inlineStr">
        <is>
          <t>Low</t>
        </is>
      </c>
      <c r="L236" t="inlineStr">
        <is>
          <t>dlp/2025/picsou-magazine-2025-08-16/scrooge-and-nephews</t>
        </is>
      </c>
    </row>
    <row r="237">
      <c r="A237" t="inlineStr">
        <is>
          <t>PHS-0083</t>
        </is>
      </c>
      <c r="B237" t="n">
        <v>1</v>
      </c>
      <c r="C237" t="inlineStr"/>
      <c r="D237" t="inlineStr">
        <is>
          <t>Autumn 2025 Brother Bear</t>
        </is>
      </c>
      <c r="E237" t="inlineStr"/>
      <c r="F237" t="n">
        <v>800</v>
      </c>
      <c r="G237" t="inlineStr">
        <is>
          <t>N</t>
        </is>
      </c>
      <c r="H237" t="inlineStr"/>
      <c r="I237" t="inlineStr">
        <is>
          <t>none</t>
        </is>
      </c>
      <c r="J237" t="inlineStr">
        <is>
          <t>candidate</t>
        </is>
      </c>
      <c r="K237" t="inlineStr">
        <is>
          <t>Low</t>
        </is>
      </c>
      <c r="L237" t="inlineStr">
        <is>
          <t>dlp/2025/brother-bear-fall-le-2025-09/brother-bear</t>
        </is>
      </c>
    </row>
    <row r="238">
      <c r="A238" t="inlineStr">
        <is>
          <t>PHS-0084</t>
        </is>
      </c>
      <c r="B238" t="n">
        <v>1</v>
      </c>
      <c r="C238" t="inlineStr">
        <is>
          <t>Captain Hook; Peter Pan</t>
        </is>
      </c>
      <c r="D238" t="inlineStr">
        <is>
          <t>Villains - Captain Hook &amp; Peter Pan Pin</t>
        </is>
      </c>
      <c r="E238" t="inlineStr"/>
      <c r="F238" t="n">
        <v>700</v>
      </c>
      <c r="G238" t="inlineStr">
        <is>
          <t>N</t>
        </is>
      </c>
      <c r="H238" t="inlineStr"/>
      <c r="I238" t="inlineStr">
        <is>
          <t>none</t>
        </is>
      </c>
      <c r="J238" t="inlineStr">
        <is>
          <t>candidate</t>
        </is>
      </c>
      <c r="K238" t="inlineStr">
        <is>
          <t>Medium</t>
        </is>
      </c>
      <c r="L238" t="inlineStr">
        <is>
          <t>dlp/2025/captain-hook-peter-pan-le-2025-09/captain-hook-and-peter-pan</t>
        </is>
      </c>
    </row>
    <row r="239">
      <c r="A239" t="inlineStr">
        <is>
          <t>PHS-0085</t>
        </is>
      </c>
      <c r="B239" t="n">
        <v>1</v>
      </c>
      <c r="C239" t="inlineStr">
        <is>
          <t>Mickey Mouse; Minnie Mouse</t>
        </is>
      </c>
      <c r="D239" t="inlineStr">
        <is>
          <t>Mickey Mouse &amp; Minnie Mouse – Mickey and Minnie moon limited edition pin</t>
        </is>
      </c>
      <c r="E239" t="inlineStr"/>
      <c r="F239" t="inlineStr"/>
      <c r="G239" t="inlineStr">
        <is>
          <t>N</t>
        </is>
      </c>
      <c r="H239" t="inlineStr"/>
      <c r="I239" t="inlineStr">
        <is>
          <t>none</t>
        </is>
      </c>
      <c r="J239" t="inlineStr">
        <is>
          <t>candidate</t>
        </is>
      </c>
      <c r="K239" t="inlineStr">
        <is>
          <t>Medium</t>
        </is>
      </c>
      <c r="L239" t="inlineStr">
        <is>
          <t>dlp/2025/mickey-minnie-moon-le-2025-09/mickey-and-minnie</t>
        </is>
      </c>
    </row>
    <row r="240">
      <c r="A240" t="inlineStr">
        <is>
          <t>PHS-0086</t>
        </is>
      </c>
      <c r="B240" t="n">
        <v>1</v>
      </c>
      <c r="C240" t="inlineStr">
        <is>
          <t>Mickey Mouse; Minnie Mouse</t>
        </is>
      </c>
      <c r="D240" t="inlineStr">
        <is>
          <t>Halloween Mickey &amp; Minnie Hot Air Balloon</t>
        </is>
      </c>
      <c r="E240" t="inlineStr"/>
      <c r="F240" t="n">
        <v>800</v>
      </c>
      <c r="G240" t="inlineStr">
        <is>
          <t>N</t>
        </is>
      </c>
      <c r="H240" t="inlineStr"/>
      <c r="I240" t="inlineStr">
        <is>
          <t>none</t>
        </is>
      </c>
      <c r="J240" t="inlineStr">
        <is>
          <t>candidate</t>
        </is>
      </c>
      <c r="K240" t="inlineStr">
        <is>
          <t>Low</t>
        </is>
      </c>
      <c r="L240" t="inlineStr">
        <is>
          <t>dlp/2025/halloween-2025-le-2025-09-20/mickey-and-minnie-hot-air-balloon</t>
        </is>
      </c>
    </row>
    <row r="241">
      <c r="A241" t="inlineStr">
        <is>
          <t>PHS-0086</t>
        </is>
      </c>
      <c r="B241" t="n">
        <v>2</v>
      </c>
      <c r="C241" t="inlineStr">
        <is>
          <t>Mickey Mouse</t>
        </is>
      </c>
      <c r="D241" t="inlineStr">
        <is>
          <t>Halloween Mickey Framed</t>
        </is>
      </c>
      <c r="E241" t="inlineStr"/>
      <c r="F241" t="n">
        <v>800</v>
      </c>
      <c r="G241" t="inlineStr">
        <is>
          <t>N</t>
        </is>
      </c>
      <c r="H241" t="inlineStr"/>
      <c r="I241" t="inlineStr">
        <is>
          <t>none</t>
        </is>
      </c>
      <c r="J241" t="inlineStr">
        <is>
          <t>candidate</t>
        </is>
      </c>
      <c r="K241" t="inlineStr">
        <is>
          <t>Low</t>
        </is>
      </c>
      <c r="L241" t="inlineStr">
        <is>
          <t>dlp/2025/halloween-2025-le-2025-09-20/mickey-framed</t>
        </is>
      </c>
    </row>
    <row r="242">
      <c r="A242" t="inlineStr">
        <is>
          <t>PHS-0087</t>
        </is>
      </c>
      <c r="B242" t="n">
        <v>1</v>
      </c>
      <c r="C242" t="inlineStr">
        <is>
          <t>Chip; Dale</t>
        </is>
      </c>
      <c r="D242" t="inlineStr">
        <is>
          <t>Halloween Chip &amp; Dale (2-pin set)</t>
        </is>
      </c>
      <c r="E242" t="inlineStr"/>
      <c r="F242" t="inlineStr"/>
      <c r="G242" t="inlineStr">
        <is>
          <t>N</t>
        </is>
      </c>
      <c r="H242" t="inlineStr"/>
      <c r="I242" t="inlineStr">
        <is>
          <t>none</t>
        </is>
      </c>
      <c r="J242" t="inlineStr">
        <is>
          <t>candidate</t>
        </is>
      </c>
      <c r="K242" t="inlineStr">
        <is>
          <t>Low</t>
        </is>
      </c>
      <c r="L242" t="inlineStr">
        <is>
          <t>dlp/2025/halloween-2025-oe-2025-09-20/chip-and-dale</t>
        </is>
      </c>
    </row>
    <row r="243">
      <c r="A243" t="inlineStr">
        <is>
          <t>PHS-0087</t>
        </is>
      </c>
      <c r="B243" t="n">
        <v>2</v>
      </c>
      <c r="C243" t="inlineStr">
        <is>
          <t>Daisy Duck</t>
        </is>
      </c>
      <c r="D243" t="inlineStr">
        <is>
          <t>Halloween Daisy</t>
        </is>
      </c>
      <c r="E243" t="inlineStr"/>
      <c r="F243" t="inlineStr"/>
      <c r="G243" t="inlineStr">
        <is>
          <t>N</t>
        </is>
      </c>
      <c r="H243" t="inlineStr"/>
      <c r="I243" t="inlineStr">
        <is>
          <t>none</t>
        </is>
      </c>
      <c r="J243" t="inlineStr">
        <is>
          <t>candidate</t>
        </is>
      </c>
      <c r="K243" t="inlineStr">
        <is>
          <t>Low</t>
        </is>
      </c>
      <c r="L243" t="inlineStr">
        <is>
          <t>dlp/2025/halloween-2025-oe-2025-09-20/daisy</t>
        </is>
      </c>
    </row>
    <row r="244">
      <c r="A244" t="inlineStr">
        <is>
          <t>PHS-0087</t>
        </is>
      </c>
      <c r="B244" t="n">
        <v>3</v>
      </c>
      <c r="C244" t="inlineStr">
        <is>
          <t>Donald Duck</t>
        </is>
      </c>
      <c r="D244" t="inlineStr">
        <is>
          <t>Halloween Donald</t>
        </is>
      </c>
      <c r="E244" t="inlineStr"/>
      <c r="F244" t="inlineStr"/>
      <c r="G244" t="inlineStr">
        <is>
          <t>N</t>
        </is>
      </c>
      <c r="H244" t="inlineStr"/>
      <c r="I244" t="inlineStr">
        <is>
          <t>none</t>
        </is>
      </c>
      <c r="J244" t="inlineStr">
        <is>
          <t>candidate</t>
        </is>
      </c>
      <c r="K244" t="inlineStr">
        <is>
          <t>Low</t>
        </is>
      </c>
      <c r="L244" t="inlineStr">
        <is>
          <t>dlp/2025/halloween-2025-oe-2025-09-20/donald</t>
        </is>
      </c>
    </row>
    <row r="245">
      <c r="A245" t="inlineStr">
        <is>
          <t>PHS-0087</t>
        </is>
      </c>
      <c r="B245" t="n">
        <v>4</v>
      </c>
      <c r="C245" t="inlineStr">
        <is>
          <t>Goofy</t>
        </is>
      </c>
      <c r="D245" t="inlineStr">
        <is>
          <t>Halloween Goofy</t>
        </is>
      </c>
      <c r="E245" t="inlineStr"/>
      <c r="F245" t="inlineStr"/>
      <c r="G245" t="inlineStr">
        <is>
          <t>N</t>
        </is>
      </c>
      <c r="H245" t="inlineStr"/>
      <c r="I245" t="inlineStr">
        <is>
          <t>none</t>
        </is>
      </c>
      <c r="J245" t="inlineStr">
        <is>
          <t>candidate</t>
        </is>
      </c>
      <c r="K245" t="inlineStr">
        <is>
          <t>Low</t>
        </is>
      </c>
      <c r="L245" t="inlineStr">
        <is>
          <t>dlp/2025/halloween-2025-oe-2025-09-20/goofy</t>
        </is>
      </c>
    </row>
    <row r="246">
      <c r="A246" t="inlineStr">
        <is>
          <t>PHS-0087</t>
        </is>
      </c>
      <c r="B246" t="n">
        <v>5</v>
      </c>
      <c r="C246" t="inlineStr">
        <is>
          <t>Mickey Mouse; Minnie Mouse</t>
        </is>
      </c>
      <c r="D246" t="inlineStr">
        <is>
          <t>Halloween Mickey &amp; Minnie Castle</t>
        </is>
      </c>
      <c r="E246" t="inlineStr"/>
      <c r="F246" t="inlineStr"/>
      <c r="G246" t="inlineStr">
        <is>
          <t>N</t>
        </is>
      </c>
      <c r="H246" t="inlineStr"/>
      <c r="I246" t="inlineStr">
        <is>
          <t>none</t>
        </is>
      </c>
      <c r="J246" t="inlineStr">
        <is>
          <t>candidate</t>
        </is>
      </c>
      <c r="K246" t="inlineStr">
        <is>
          <t>Low</t>
        </is>
      </c>
      <c r="L246" t="inlineStr">
        <is>
          <t>dlp/2025/halloween-2025-oe-2025-09-20/mickey-and-minnie-castle</t>
        </is>
      </c>
    </row>
    <row r="247">
      <c r="A247" t="inlineStr">
        <is>
          <t>PHS-0087</t>
        </is>
      </c>
      <c r="B247" t="n">
        <v>6</v>
      </c>
      <c r="C247" t="inlineStr">
        <is>
          <t>Pluto</t>
        </is>
      </c>
      <c r="D247" t="inlineStr">
        <is>
          <t>Halloween Pluto</t>
        </is>
      </c>
      <c r="E247" t="inlineStr"/>
      <c r="F247" t="inlineStr"/>
      <c r="G247" t="inlineStr">
        <is>
          <t>N</t>
        </is>
      </c>
      <c r="H247" t="inlineStr"/>
      <c r="I247" t="inlineStr">
        <is>
          <t>none</t>
        </is>
      </c>
      <c r="J247" t="inlineStr">
        <is>
          <t>candidate</t>
        </is>
      </c>
      <c r="K247" t="inlineStr">
        <is>
          <t>Low</t>
        </is>
      </c>
      <c r="L247" t="inlineStr">
        <is>
          <t>dlp/2025/halloween-2025-oe-2025-09-20/pluto</t>
        </is>
      </c>
    </row>
    <row r="248">
      <c r="A248" t="inlineStr">
        <is>
          <t>PHS-0087</t>
        </is>
      </c>
      <c r="B248" t="n">
        <v>7</v>
      </c>
      <c r="C248" t="inlineStr">
        <is>
          <t>Scrump; Stitch</t>
        </is>
      </c>
      <c r="D248" t="inlineStr">
        <is>
          <t>Halloween Stitch &amp; Scrump (2-pin set)</t>
        </is>
      </c>
      <c r="E248" t="inlineStr"/>
      <c r="F248" t="inlineStr"/>
      <c r="G248" t="inlineStr">
        <is>
          <t>N</t>
        </is>
      </c>
      <c r="H248" t="inlineStr"/>
      <c r="I248" t="inlineStr">
        <is>
          <t>none</t>
        </is>
      </c>
      <c r="J248" t="inlineStr">
        <is>
          <t>candidate</t>
        </is>
      </c>
      <c r="K248" t="inlineStr">
        <is>
          <t>Low</t>
        </is>
      </c>
      <c r="L248" t="inlineStr">
        <is>
          <t>dlp/2025/halloween-2025-oe-2025-09-20/stitch-and-scrump</t>
        </is>
      </c>
    </row>
    <row r="249">
      <c r="A249" t="inlineStr">
        <is>
          <t>PHS-0088</t>
        </is>
      </c>
      <c r="B249" t="n">
        <v>1</v>
      </c>
      <c r="C249" t="inlineStr">
        <is>
          <t>Cruella de Vil</t>
        </is>
      </c>
      <c r="D249" t="inlineStr">
        <is>
          <t>Cruella de Vil – Cruella and Ursula jumbo limited edition pins</t>
        </is>
      </c>
      <c r="E249" t="inlineStr"/>
      <c r="F249" t="inlineStr"/>
      <c r="G249" t="inlineStr">
        <is>
          <t>N</t>
        </is>
      </c>
      <c r="H249" t="inlineStr"/>
      <c r="I249" t="inlineStr">
        <is>
          <t>none</t>
        </is>
      </c>
      <c r="J249" t="inlineStr">
        <is>
          <t>candidate</t>
        </is>
      </c>
      <c r="K249" t="inlineStr">
        <is>
          <t>Medium</t>
        </is>
      </c>
      <c r="L249" t="inlineStr">
        <is>
          <t>dlp/2025/villains-jumbo-cruella-ursula-le-2025-09-27/cruella</t>
        </is>
      </c>
    </row>
    <row r="250">
      <c r="A250" t="inlineStr">
        <is>
          <t>PHS-0088</t>
        </is>
      </c>
      <c r="B250" t="n">
        <v>2</v>
      </c>
      <c r="C250" t="inlineStr">
        <is>
          <t>Ursula</t>
        </is>
      </c>
      <c r="D250" t="inlineStr">
        <is>
          <t>Ursula – Cruella and Ursula jumbo limited edition pins</t>
        </is>
      </c>
      <c r="E250" t="inlineStr"/>
      <c r="F250" t="inlineStr"/>
      <c r="G250" t="inlineStr">
        <is>
          <t>N</t>
        </is>
      </c>
      <c r="H250" t="inlineStr"/>
      <c r="I250" t="inlineStr">
        <is>
          <t>none</t>
        </is>
      </c>
      <c r="J250" t="inlineStr">
        <is>
          <t>candidate</t>
        </is>
      </c>
      <c r="K250" t="inlineStr">
        <is>
          <t>Medium</t>
        </is>
      </c>
      <c r="L250" t="inlineStr">
        <is>
          <t>dlp/2025/villains-jumbo-cruella-ursula-le-2025-09-27/ursula</t>
        </is>
      </c>
    </row>
    <row r="251">
      <c r="A251" t="inlineStr">
        <is>
          <t>PHS-0089</t>
        </is>
      </c>
      <c r="B251" t="n">
        <v>1</v>
      </c>
      <c r="C251" t="inlineStr">
        <is>
          <t>Aladdin</t>
        </is>
      </c>
      <c r="D251" t="inlineStr">
        <is>
          <t>Aladdin – Tarot Series Aladdin limited edition pin</t>
        </is>
      </c>
      <c r="E251" t="inlineStr"/>
      <c r="F251" t="inlineStr"/>
      <c r="G251" t="inlineStr">
        <is>
          <t>N</t>
        </is>
      </c>
      <c r="H251" t="inlineStr"/>
      <c r="I251" t="inlineStr">
        <is>
          <t>none</t>
        </is>
      </c>
      <c r="J251" t="inlineStr">
        <is>
          <t>candidate</t>
        </is>
      </c>
      <c r="K251" t="inlineStr">
        <is>
          <t>Medium</t>
        </is>
      </c>
      <c r="L251" t="inlineStr">
        <is>
          <t>dlp/2025/tarot-series-aladdin-le-800/aladdin</t>
        </is>
      </c>
    </row>
    <row r="252">
      <c r="A252" t="inlineStr">
        <is>
          <t>PHS-0090</t>
        </is>
      </c>
      <c r="B252" t="n">
        <v>1</v>
      </c>
      <c r="C252" t="inlineStr">
        <is>
          <t>Evil Queen; Magic Mirror</t>
        </is>
      </c>
      <c r="D252" t="inlineStr">
        <is>
          <t>Evil Queen &amp; Magic Mirror – Disney Villains open edition pins</t>
        </is>
      </c>
      <c r="E252" t="inlineStr"/>
      <c r="F252" t="inlineStr"/>
      <c r="G252" t="inlineStr">
        <is>
          <t>possible</t>
        </is>
      </c>
      <c r="H252" t="inlineStr"/>
      <c r="I252" t="inlineStr">
        <is>
          <t>none</t>
        </is>
      </c>
      <c r="J252" t="inlineStr">
        <is>
          <t>candidate</t>
        </is>
      </c>
      <c r="K252" t="inlineStr">
        <is>
          <t>Medium</t>
        </is>
      </c>
      <c r="L252" t="inlineStr">
        <is>
          <t>dlp/2025/villains-oe-2025-10-04/evil-queen-and-magic-mirror</t>
        </is>
      </c>
    </row>
    <row r="253">
      <c r="A253" t="inlineStr">
        <is>
          <t>PHS-0090</t>
        </is>
      </c>
      <c r="B253" t="n">
        <v>2</v>
      </c>
      <c r="C253" t="inlineStr">
        <is>
          <t>Hades; Pain; Panic</t>
        </is>
      </c>
      <c r="D253" t="inlineStr">
        <is>
          <t>Hades &amp; Pain &amp; Panic – Disney Villains open edition pins</t>
        </is>
      </c>
      <c r="E253" t="inlineStr"/>
      <c r="F253" t="inlineStr"/>
      <c r="G253" t="inlineStr">
        <is>
          <t>possible</t>
        </is>
      </c>
      <c r="H253" t="inlineStr"/>
      <c r="I253" t="inlineStr">
        <is>
          <t>none</t>
        </is>
      </c>
      <c r="J253" t="inlineStr">
        <is>
          <t>candidate</t>
        </is>
      </c>
      <c r="K253" t="inlineStr">
        <is>
          <t>Medium</t>
        </is>
      </c>
      <c r="L253" t="inlineStr">
        <is>
          <t>dlp/2025/villains-oe-2025-10-04/hades-pain-and-panic</t>
        </is>
      </c>
    </row>
    <row r="254">
      <c r="A254" t="inlineStr">
        <is>
          <t>PHS-0090</t>
        </is>
      </c>
      <c r="B254" t="n">
        <v>3</v>
      </c>
      <c r="C254" t="inlineStr">
        <is>
          <t>Iago; Jafar</t>
        </is>
      </c>
      <c r="D254" t="inlineStr">
        <is>
          <t>Iago &amp; Jafar – Disney Villains open edition pins</t>
        </is>
      </c>
      <c r="E254" t="inlineStr"/>
      <c r="F254" t="inlineStr"/>
      <c r="G254" t="inlineStr">
        <is>
          <t>possible</t>
        </is>
      </c>
      <c r="H254" t="inlineStr"/>
      <c r="I254" t="inlineStr">
        <is>
          <t>none</t>
        </is>
      </c>
      <c r="J254" t="inlineStr">
        <is>
          <t>candidate</t>
        </is>
      </c>
      <c r="K254" t="inlineStr">
        <is>
          <t>Medium</t>
        </is>
      </c>
      <c r="L254" t="inlineStr">
        <is>
          <t>dlp/2025/villains-oe-2025-10-04/jafar-and-iago</t>
        </is>
      </c>
    </row>
    <row r="255">
      <c r="A255" t="inlineStr">
        <is>
          <t>PHS-0090</t>
        </is>
      </c>
      <c r="B255" t="n">
        <v>4</v>
      </c>
      <c r="C255" t="inlineStr">
        <is>
          <t>Banzai; Ed; Scar; Shenzi</t>
        </is>
      </c>
      <c r="D255" t="inlineStr">
        <is>
          <t>Banzai &amp; Ed &amp; Scar &amp; Shenzi – Disney Villains open edition pins</t>
        </is>
      </c>
      <c r="E255" t="inlineStr"/>
      <c r="F255" t="inlineStr"/>
      <c r="G255" t="inlineStr">
        <is>
          <t>possible</t>
        </is>
      </c>
      <c r="H255" t="inlineStr"/>
      <c r="I255" t="inlineStr">
        <is>
          <t>none</t>
        </is>
      </c>
      <c r="J255" t="inlineStr">
        <is>
          <t>candidate</t>
        </is>
      </c>
      <c r="K255" t="inlineStr">
        <is>
          <t>Low</t>
        </is>
      </c>
      <c r="L255" t="inlineStr">
        <is>
          <t>dlp/2025/villains-oe-2025-10-04/scar-shenzi-banzai-ed</t>
        </is>
      </c>
    </row>
    <row r="256">
      <c r="A256" t="inlineStr">
        <is>
          <t>PHS-0091</t>
        </is>
      </c>
      <c r="B256" t="n">
        <v>1</v>
      </c>
      <c r="C256" t="inlineStr">
        <is>
          <t>Kuzco</t>
        </is>
      </c>
      <c r="D256" t="inlineStr">
        <is>
          <t>The Emperor's New Groove 25th Anniversary Jumbo Pin</t>
        </is>
      </c>
      <c r="E256" t="inlineStr"/>
      <c r="F256" t="n">
        <v>800</v>
      </c>
      <c r="G256" t="inlineStr">
        <is>
          <t>N</t>
        </is>
      </c>
      <c r="H256" t="inlineStr"/>
      <c r="I256" t="inlineStr">
        <is>
          <t>none</t>
        </is>
      </c>
      <c r="J256" t="inlineStr">
        <is>
          <t>candidate</t>
        </is>
      </c>
      <c r="K256" t="inlineStr">
        <is>
          <t>Medium</t>
        </is>
      </c>
      <c r="L256" t="inlineStr">
        <is>
          <t>dlp/2025/kuzco-25th-anniversary-jumbo-le-800/kuzco</t>
        </is>
      </c>
    </row>
    <row r="257">
      <c r="A257" t="inlineStr">
        <is>
          <t>PHS-0092</t>
        </is>
      </c>
      <c r="B257" t="n">
        <v>1</v>
      </c>
      <c r="C257" t="inlineStr">
        <is>
          <t>Miss Bunny; Thumper</t>
        </is>
      </c>
      <c r="D257" t="inlineStr">
        <is>
          <t>Miss Bunny &amp; Thumper – Lunar Series Miss Bunny &amp; Thumper limited edition pin</t>
        </is>
      </c>
      <c r="E257" t="inlineStr"/>
      <c r="F257" t="inlineStr"/>
      <c r="G257" t="inlineStr">
        <is>
          <t>N</t>
        </is>
      </c>
      <c r="H257" t="inlineStr"/>
      <c r="I257" t="inlineStr">
        <is>
          <t>none</t>
        </is>
      </c>
      <c r="J257" t="inlineStr">
        <is>
          <t>candidate</t>
        </is>
      </c>
      <c r="K257" t="inlineStr">
        <is>
          <t>Medium</t>
        </is>
      </c>
      <c r="L257" t="inlineStr">
        <is>
          <t>dlp/2025/miss-bunny-thumper-lunar-series-le-700/miss-bunny-and-thumper</t>
        </is>
      </c>
    </row>
    <row r="258">
      <c r="A258" t="inlineStr">
        <is>
          <t>PHS-0093</t>
        </is>
      </c>
      <c r="B258" t="n">
        <v>1</v>
      </c>
      <c r="C258" t="inlineStr">
        <is>
          <t>Robin Hood</t>
        </is>
      </c>
      <c r="D258" t="inlineStr">
        <is>
          <t>Robin Hood – Voyage Series Robin Hood limited edition pin</t>
        </is>
      </c>
      <c r="E258" t="inlineStr"/>
      <c r="F258" t="inlineStr"/>
      <c r="G258" t="inlineStr">
        <is>
          <t>N</t>
        </is>
      </c>
      <c r="H258" t="inlineStr"/>
      <c r="I258" t="inlineStr">
        <is>
          <t>none</t>
        </is>
      </c>
      <c r="J258" t="inlineStr">
        <is>
          <t>candidate</t>
        </is>
      </c>
      <c r="K258" t="inlineStr">
        <is>
          <t>Medium</t>
        </is>
      </c>
      <c r="L258" t="inlineStr">
        <is>
          <t>dlp/2025/robin-hood-voyage-series-le-800/robin-hood</t>
        </is>
      </c>
    </row>
    <row r="259">
      <c r="A259" t="inlineStr">
        <is>
          <t>PHS-0094</t>
        </is>
      </c>
      <c r="B259" t="n">
        <v>1</v>
      </c>
      <c r="C259" t="inlineStr">
        <is>
          <t>Chip</t>
        </is>
      </c>
      <c r="D259" t="inlineStr">
        <is>
          <t>Chip – Pajama Party pins</t>
        </is>
      </c>
      <c r="E259" t="inlineStr"/>
      <c r="F259" t="inlineStr"/>
      <c r="G259" t="inlineStr">
        <is>
          <t>N</t>
        </is>
      </c>
      <c r="H259" t="inlineStr"/>
      <c r="I259" t="inlineStr">
        <is>
          <t>none</t>
        </is>
      </c>
      <c r="J259" t="inlineStr">
        <is>
          <t>candidate</t>
        </is>
      </c>
      <c r="K259" t="inlineStr">
        <is>
          <t>Low</t>
        </is>
      </c>
      <c r="L259" t="inlineStr">
        <is>
          <t>dlp/2025/pajama-party-2025-10-17/chip</t>
        </is>
      </c>
    </row>
    <row r="260">
      <c r="A260" t="inlineStr">
        <is>
          <t>PHS-0094</t>
        </is>
      </c>
      <c r="B260" t="n">
        <v>2</v>
      </c>
      <c r="C260" t="inlineStr">
        <is>
          <t>Chip; Dale</t>
        </is>
      </c>
      <c r="D260" t="inlineStr">
        <is>
          <t>Pajama Party Chip &amp; Dale Pin Set</t>
        </is>
      </c>
      <c r="E260" t="inlineStr"/>
      <c r="F260" t="inlineStr"/>
      <c r="G260" t="inlineStr">
        <is>
          <t>N</t>
        </is>
      </c>
      <c r="H260" t="inlineStr"/>
      <c r="I260" t="inlineStr">
        <is>
          <t>none</t>
        </is>
      </c>
      <c r="J260" t="inlineStr">
        <is>
          <t>candidate</t>
        </is>
      </c>
      <c r="K260" t="inlineStr">
        <is>
          <t>Medium</t>
        </is>
      </c>
      <c r="L260" t="inlineStr">
        <is>
          <t>dlp/2025/pajama-party-2025-10-17/chip-and-dale</t>
        </is>
      </c>
    </row>
    <row r="261">
      <c r="A261" t="inlineStr">
        <is>
          <t>PHS-0094</t>
        </is>
      </c>
      <c r="B261" t="n">
        <v>3</v>
      </c>
      <c r="C261" t="inlineStr">
        <is>
          <t>Daisy Duck</t>
        </is>
      </c>
      <c r="D261" t="inlineStr">
        <is>
          <t>Daisy Duck – Pajama Party pins</t>
        </is>
      </c>
      <c r="E261" t="inlineStr"/>
      <c r="F261" t="inlineStr"/>
      <c r="G261" t="inlineStr">
        <is>
          <t>N</t>
        </is>
      </c>
      <c r="H261" t="inlineStr"/>
      <c r="I261" t="inlineStr">
        <is>
          <t>none</t>
        </is>
      </c>
      <c r="J261" t="inlineStr">
        <is>
          <t>candidate</t>
        </is>
      </c>
      <c r="K261" t="inlineStr">
        <is>
          <t>Medium</t>
        </is>
      </c>
      <c r="L261" t="inlineStr">
        <is>
          <t>dlp/2025/pajama-party-2025-10-17/daisy</t>
        </is>
      </c>
    </row>
    <row r="262">
      <c r="A262" t="inlineStr">
        <is>
          <t>PHS-0094</t>
        </is>
      </c>
      <c r="B262" t="n">
        <v>4</v>
      </c>
      <c r="C262" t="inlineStr">
        <is>
          <t>Dale</t>
        </is>
      </c>
      <c r="D262" t="inlineStr">
        <is>
          <t>Dale – Pajama Party pins</t>
        </is>
      </c>
      <c r="E262" t="inlineStr"/>
      <c r="F262" t="inlineStr"/>
      <c r="G262" t="inlineStr">
        <is>
          <t>N</t>
        </is>
      </c>
      <c r="H262" t="inlineStr"/>
      <c r="I262" t="inlineStr">
        <is>
          <t>none</t>
        </is>
      </c>
      <c r="J262" t="inlineStr">
        <is>
          <t>candidate</t>
        </is>
      </c>
      <c r="K262" t="inlineStr">
        <is>
          <t>Low</t>
        </is>
      </c>
      <c r="L262" t="inlineStr">
        <is>
          <t>dlp/2025/pajama-party-2025-10-17/dale</t>
        </is>
      </c>
    </row>
    <row r="263">
      <c r="A263" t="inlineStr">
        <is>
          <t>PHS-0094</t>
        </is>
      </c>
      <c r="B263" t="n">
        <v>5</v>
      </c>
      <c r="C263" t="inlineStr">
        <is>
          <t>Donald Duck</t>
        </is>
      </c>
      <c r="D263" t="inlineStr">
        <is>
          <t>Donald Duck – Pajama Party pins</t>
        </is>
      </c>
      <c r="E263" t="inlineStr"/>
      <c r="F263" t="inlineStr"/>
      <c r="G263" t="inlineStr">
        <is>
          <t>N</t>
        </is>
      </c>
      <c r="H263" t="inlineStr"/>
      <c r="I263" t="inlineStr">
        <is>
          <t>none</t>
        </is>
      </c>
      <c r="J263" t="inlineStr">
        <is>
          <t>candidate</t>
        </is>
      </c>
      <c r="K263" t="inlineStr">
        <is>
          <t>Medium</t>
        </is>
      </c>
      <c r="L263" t="inlineStr">
        <is>
          <t>dlp/2025/pajama-party-2025-10-17/donald</t>
        </is>
      </c>
    </row>
    <row r="264">
      <c r="A264" t="inlineStr">
        <is>
          <t>PHS-0094</t>
        </is>
      </c>
      <c r="B264" t="n">
        <v>6</v>
      </c>
      <c r="C264" t="inlineStr">
        <is>
          <t>Goofy</t>
        </is>
      </c>
      <c r="D264" t="inlineStr">
        <is>
          <t>Goofy – Pajama Party pins</t>
        </is>
      </c>
      <c r="E264" t="inlineStr"/>
      <c r="F264" t="inlineStr"/>
      <c r="G264" t="inlineStr">
        <is>
          <t>N</t>
        </is>
      </c>
      <c r="H264" t="inlineStr"/>
      <c r="I264" t="inlineStr">
        <is>
          <t>none</t>
        </is>
      </c>
      <c r="J264" t="inlineStr">
        <is>
          <t>candidate</t>
        </is>
      </c>
      <c r="K264" t="inlineStr">
        <is>
          <t>Medium</t>
        </is>
      </c>
      <c r="L264" t="inlineStr">
        <is>
          <t>dlp/2025/pajama-party-2025-10-17/goofy</t>
        </is>
      </c>
    </row>
    <row r="265">
      <c r="A265" t="inlineStr">
        <is>
          <t>PHS-0094</t>
        </is>
      </c>
      <c r="B265" t="n">
        <v>7</v>
      </c>
      <c r="C265" t="inlineStr">
        <is>
          <t>Mickey Mouse</t>
        </is>
      </c>
      <c r="D265" t="inlineStr">
        <is>
          <t>Mickey Mouse – Pajama Party pins</t>
        </is>
      </c>
      <c r="E265" t="inlineStr"/>
      <c r="F265" t="inlineStr"/>
      <c r="G265" t="inlineStr">
        <is>
          <t>N</t>
        </is>
      </c>
      <c r="H265" t="inlineStr"/>
      <c r="I265" t="inlineStr">
        <is>
          <t>none</t>
        </is>
      </c>
      <c r="J265" t="inlineStr">
        <is>
          <t>candidate</t>
        </is>
      </c>
      <c r="K265" t="inlineStr">
        <is>
          <t>Medium</t>
        </is>
      </c>
      <c r="L265" t="inlineStr">
        <is>
          <t>dlp/2025/pajama-party-2025-10-17/mickey</t>
        </is>
      </c>
    </row>
    <row r="266">
      <c r="A266" t="inlineStr">
        <is>
          <t>PHS-0094</t>
        </is>
      </c>
      <c r="B266" t="n">
        <v>8</v>
      </c>
      <c r="C266" t="inlineStr">
        <is>
          <t>Mickey Mouse; Minnie Mouse</t>
        </is>
      </c>
      <c r="D266" t="inlineStr">
        <is>
          <t>Mickey Mouse &amp; Minnie Mouse – Pajama Party pins</t>
        </is>
      </c>
      <c r="E266" t="inlineStr"/>
      <c r="F266" t="inlineStr"/>
      <c r="G266" t="inlineStr">
        <is>
          <t>N</t>
        </is>
      </c>
      <c r="H266" t="inlineStr"/>
      <c r="I266" t="inlineStr">
        <is>
          <t>none</t>
        </is>
      </c>
      <c r="J266" t="inlineStr">
        <is>
          <t>candidate</t>
        </is>
      </c>
      <c r="K266" t="inlineStr">
        <is>
          <t>Low</t>
        </is>
      </c>
      <c r="L266" t="inlineStr">
        <is>
          <t>dlp/2025/pajama-party-2025-10-17/mickey-and-minnie</t>
        </is>
      </c>
    </row>
    <row r="267">
      <c r="A267" t="inlineStr">
        <is>
          <t>PHS-0094</t>
        </is>
      </c>
      <c r="B267" t="n">
        <v>9</v>
      </c>
      <c r="C267" t="inlineStr">
        <is>
          <t>Minnie Mouse</t>
        </is>
      </c>
      <c r="D267" t="inlineStr">
        <is>
          <t>Minnie Mouse – Pajama Party pins</t>
        </is>
      </c>
      <c r="E267" t="inlineStr"/>
      <c r="F267" t="inlineStr"/>
      <c r="G267" t="inlineStr">
        <is>
          <t>N</t>
        </is>
      </c>
      <c r="H267" t="inlineStr"/>
      <c r="I267" t="inlineStr">
        <is>
          <t>none</t>
        </is>
      </c>
      <c r="J267" t="inlineStr">
        <is>
          <t>candidate</t>
        </is>
      </c>
      <c r="K267" t="inlineStr">
        <is>
          <t>Medium</t>
        </is>
      </c>
      <c r="L267" t="inlineStr">
        <is>
          <t>dlp/2025/pajama-party-2025-10-17/minnie</t>
        </is>
      </c>
    </row>
    <row r="268">
      <c r="A268" t="inlineStr">
        <is>
          <t>PHS-0095</t>
        </is>
      </c>
      <c r="B268" t="n">
        <v>1</v>
      </c>
      <c r="C268" t="inlineStr">
        <is>
          <t>Pluto</t>
        </is>
      </c>
      <c r="D268" t="inlineStr">
        <is>
          <t>Pluto – Christmas 2025 limited edition pins</t>
        </is>
      </c>
      <c r="E268" t="inlineStr"/>
      <c r="F268" t="inlineStr"/>
      <c r="G268" t="inlineStr">
        <is>
          <t>possible</t>
        </is>
      </c>
      <c r="H268" t="inlineStr"/>
      <c r="I268" t="inlineStr">
        <is>
          <t>none</t>
        </is>
      </c>
      <c r="J268" t="inlineStr">
        <is>
          <t>candidate</t>
        </is>
      </c>
      <c r="K268" t="inlineStr">
        <is>
          <t>Low</t>
        </is>
      </c>
      <c r="L268" t="inlineStr">
        <is>
          <t>dlp/2025/christmas-2025-le/pluto-pulling-sled</t>
        </is>
      </c>
    </row>
    <row r="269">
      <c r="A269" t="inlineStr">
        <is>
          <t>PHS-0096</t>
        </is>
      </c>
      <c r="B269" t="n">
        <v>1</v>
      </c>
      <c r="C269" t="inlineStr">
        <is>
          <t>Chip; Dale</t>
        </is>
      </c>
      <c r="D269" t="inlineStr">
        <is>
          <t>Chip &amp; Dale – Disney Enchanted Christmas 2025 open edition pins</t>
        </is>
      </c>
      <c r="E269" t="inlineStr"/>
      <c r="F269" t="inlineStr"/>
      <c r="G269" t="inlineStr">
        <is>
          <t>N</t>
        </is>
      </c>
      <c r="H269" t="inlineStr"/>
      <c r="I269" t="inlineStr">
        <is>
          <t>none</t>
        </is>
      </c>
      <c r="J269" t="inlineStr">
        <is>
          <t>candidate</t>
        </is>
      </c>
      <c r="K269" t="inlineStr">
        <is>
          <t>Low</t>
        </is>
      </c>
      <c r="L269" t="inlineStr">
        <is>
          <t>dlp/2025/christmas-2025-oe/chip-and-dale</t>
        </is>
      </c>
    </row>
    <row r="270">
      <c r="A270" t="inlineStr">
        <is>
          <t>PHS-0096</t>
        </is>
      </c>
      <c r="B270" t="n">
        <v>2</v>
      </c>
      <c r="C270" t="inlineStr">
        <is>
          <t>Donald Duck</t>
        </is>
      </c>
      <c r="D270" t="inlineStr">
        <is>
          <t>Donald Duck – Disney Enchanted Christmas 2025 open edition pins</t>
        </is>
      </c>
      <c r="E270" t="inlineStr"/>
      <c r="F270" t="inlineStr"/>
      <c r="G270" t="inlineStr">
        <is>
          <t>N</t>
        </is>
      </c>
      <c r="H270" t="inlineStr"/>
      <c r="I270" t="inlineStr">
        <is>
          <t>none</t>
        </is>
      </c>
      <c r="J270" t="inlineStr">
        <is>
          <t>candidate</t>
        </is>
      </c>
      <c r="K270" t="inlineStr">
        <is>
          <t>Medium</t>
        </is>
      </c>
      <c r="L270" t="inlineStr">
        <is>
          <t>dlp/2025/christmas-2025-oe/donald</t>
        </is>
      </c>
    </row>
    <row r="271">
      <c r="A271" t="inlineStr">
        <is>
          <t>PHS-0096</t>
        </is>
      </c>
      <c r="B271" t="n">
        <v>3</v>
      </c>
      <c r="C271" t="inlineStr">
        <is>
          <t>Mickey Mouse</t>
        </is>
      </c>
      <c r="D271" t="inlineStr">
        <is>
          <t>Santa Mickey</t>
        </is>
      </c>
      <c r="E271" t="inlineStr"/>
      <c r="F271" t="inlineStr"/>
      <c r="G271" t="inlineStr">
        <is>
          <t>N</t>
        </is>
      </c>
      <c r="H271" t="inlineStr"/>
      <c r="I271" t="inlineStr">
        <is>
          <t>none</t>
        </is>
      </c>
      <c r="J271" t="inlineStr">
        <is>
          <t>candidate</t>
        </is>
      </c>
      <c r="K271" t="inlineStr">
        <is>
          <t>Medium</t>
        </is>
      </c>
      <c r="L271" t="inlineStr">
        <is>
          <t>dlp/2025/christmas-2025-oe/santa-mickey</t>
        </is>
      </c>
    </row>
    <row r="272">
      <c r="A272" t="inlineStr">
        <is>
          <t>PHS-0096</t>
        </is>
      </c>
      <c r="B272" t="n">
        <v>4</v>
      </c>
      <c r="C272" t="inlineStr">
        <is>
          <t>Stitch</t>
        </is>
      </c>
      <c r="D272" t="inlineStr">
        <is>
          <t>Stitch – Disney Enchanted Christmas 2025 open edition pins</t>
        </is>
      </c>
      <c r="E272" t="inlineStr"/>
      <c r="F272" t="inlineStr"/>
      <c r="G272" t="inlineStr">
        <is>
          <t>N</t>
        </is>
      </c>
      <c r="H272" t="inlineStr"/>
      <c r="I272" t="inlineStr">
        <is>
          <t>none</t>
        </is>
      </c>
      <c r="J272" t="inlineStr">
        <is>
          <t>candidate</t>
        </is>
      </c>
      <c r="K272" t="inlineStr">
        <is>
          <t>Medium</t>
        </is>
      </c>
      <c r="L272" t="inlineStr">
        <is>
          <t>dlp/2025/christmas-2025-oe/stitch</t>
        </is>
      </c>
    </row>
    <row r="273">
      <c r="A273" t="inlineStr">
        <is>
          <t>PHS-0097</t>
        </is>
      </c>
      <c r="B273" t="n">
        <v>1</v>
      </c>
      <c r="C273" t="inlineStr"/>
      <c r="D273" t="inlineStr">
        <is>
          <t>That's a Wrap</t>
        </is>
      </c>
      <c r="E273" t="inlineStr"/>
      <c r="F273" t="inlineStr"/>
      <c r="G273" t="inlineStr">
        <is>
          <t>N</t>
        </is>
      </c>
      <c r="H273" t="inlineStr"/>
      <c r="I273" t="inlineStr">
        <is>
          <t>none</t>
        </is>
      </c>
      <c r="J273" t="inlineStr">
        <is>
          <t>candidate</t>
        </is>
      </c>
      <c r="K273" t="inlineStr">
        <is>
          <t>Medium</t>
        </is>
      </c>
      <c r="L273" t="inlineStr">
        <is>
          <t>dlp/2025/thats-a-wrap-walt-disney-studios-jumbo-le-800/walt-disney-studios-park</t>
        </is>
      </c>
    </row>
    <row r="274">
      <c r="A274" t="inlineStr">
        <is>
          <t>PHS-0098</t>
        </is>
      </c>
      <c r="B274" t="n">
        <v>1</v>
      </c>
      <c r="C274" t="inlineStr">
        <is>
          <t>Mirabel Madrigal</t>
        </is>
      </c>
      <c r="D274" t="inlineStr">
        <is>
          <t>Mirabel Madrigal – Mirabel limited edition pin</t>
        </is>
      </c>
      <c r="E274" t="inlineStr"/>
      <c r="F274" t="inlineStr"/>
      <c r="G274" t="inlineStr">
        <is>
          <t>N</t>
        </is>
      </c>
      <c r="H274" t="inlineStr"/>
      <c r="I274" t="inlineStr">
        <is>
          <t>none</t>
        </is>
      </c>
      <c r="J274" t="inlineStr">
        <is>
          <t>candidate</t>
        </is>
      </c>
      <c r="K274" t="inlineStr">
        <is>
          <t>Medium</t>
        </is>
      </c>
      <c r="L274" t="inlineStr">
        <is>
          <t>dlp/2025/mirabel-le-2025-11-22/mirabel</t>
        </is>
      </c>
    </row>
    <row r="275">
      <c r="A275" t="inlineStr">
        <is>
          <t>PHS-0099</t>
        </is>
      </c>
      <c r="B275" t="n">
        <v>1</v>
      </c>
      <c r="C275" t="inlineStr">
        <is>
          <t>Winnie the Pooh</t>
        </is>
      </c>
      <c r="D275" t="inlineStr">
        <is>
          <t>Winnie the Pooh – Winnie the Pooh winter limited edition pin</t>
        </is>
      </c>
      <c r="E275" t="inlineStr"/>
      <c r="F275" t="inlineStr"/>
      <c r="G275" t="inlineStr">
        <is>
          <t>N</t>
        </is>
      </c>
      <c r="H275" t="inlineStr"/>
      <c r="I275" t="inlineStr">
        <is>
          <t>none</t>
        </is>
      </c>
      <c r="J275" t="inlineStr">
        <is>
          <t>candidate</t>
        </is>
      </c>
      <c r="K275" t="inlineStr">
        <is>
          <t>Low</t>
        </is>
      </c>
      <c r="L275" t="inlineStr">
        <is>
          <t>dlp/2025/winnie-the-pooh-winter-le-2025-11-22/winnie-the-pooh</t>
        </is>
      </c>
    </row>
    <row r="276">
      <c r="A276" t="inlineStr">
        <is>
          <t>PHS-0100</t>
        </is>
      </c>
      <c r="B276" t="n">
        <v>1</v>
      </c>
      <c r="C276" t="inlineStr">
        <is>
          <t>Genie</t>
        </is>
      </c>
      <c r="D276" t="inlineStr">
        <is>
          <t>Genie – Genie 2026-themed pin</t>
        </is>
      </c>
      <c r="E276" t="inlineStr"/>
      <c r="F276" t="inlineStr"/>
      <c r="G276" t="inlineStr">
        <is>
          <t>N</t>
        </is>
      </c>
      <c r="H276" t="inlineStr"/>
      <c r="I276" t="inlineStr">
        <is>
          <t>none</t>
        </is>
      </c>
      <c r="J276" t="inlineStr">
        <is>
          <t>candidate</t>
        </is>
      </c>
      <c r="K276" t="inlineStr">
        <is>
          <t>Low</t>
        </is>
      </c>
      <c r="L276" t="inlineStr">
        <is>
          <t>dlp/2025/genie-2026-2025-12-06/genie</t>
        </is>
      </c>
    </row>
    <row r="277">
      <c r="A277" t="inlineStr">
        <is>
          <t>PHS-0101</t>
        </is>
      </c>
      <c r="B277" t="n">
        <v>1</v>
      </c>
      <c r="C277" t="inlineStr">
        <is>
          <t>Goofy; Max; Powerline</t>
        </is>
      </c>
      <c r="D277" t="inlineStr">
        <is>
          <t>Goofy &amp; Max &amp; Powerline – Goofy, Max and Powerline limited edition pin</t>
        </is>
      </c>
      <c r="E277" t="inlineStr"/>
      <c r="F277" t="inlineStr"/>
      <c r="G277" t="inlineStr">
        <is>
          <t>N</t>
        </is>
      </c>
      <c r="H277" t="inlineStr"/>
      <c r="I277" t="inlineStr">
        <is>
          <t>none</t>
        </is>
      </c>
      <c r="J277" t="inlineStr">
        <is>
          <t>candidate</t>
        </is>
      </c>
      <c r="K277" t="inlineStr">
        <is>
          <t>Low</t>
        </is>
      </c>
      <c r="L277" t="inlineStr">
        <is>
          <t>dlp/2025/goofy-max-powerline-le-2025-12-06/goofy-max-powerline</t>
        </is>
      </c>
    </row>
    <row r="278">
      <c r="A278" t="inlineStr">
        <is>
          <t>PHS-0102</t>
        </is>
      </c>
      <c r="B278" t="n">
        <v>1</v>
      </c>
      <c r="C278" t="inlineStr">
        <is>
          <t>Quasimodo</t>
        </is>
      </c>
      <c r="D278" t="inlineStr">
        <is>
          <t>Quasimodo – Quasimodo limited edition pin (December)</t>
        </is>
      </c>
      <c r="E278" t="inlineStr"/>
      <c r="F278" t="inlineStr"/>
      <c r="G278" t="inlineStr">
        <is>
          <t>N</t>
        </is>
      </c>
      <c r="H278" t="inlineStr"/>
      <c r="I278" t="inlineStr">
        <is>
          <t>none</t>
        </is>
      </c>
      <c r="J278" t="inlineStr">
        <is>
          <t>candidate</t>
        </is>
      </c>
      <c r="K278" t="inlineStr">
        <is>
          <t>Low</t>
        </is>
      </c>
      <c r="L278" t="inlineStr">
        <is>
          <t>dlp/2025/quasimodo-le-2025-12-06/quasimodo</t>
        </is>
      </c>
    </row>
    <row r="279">
      <c r="A279" t="inlineStr">
        <is>
          <t>PHS-0103</t>
        </is>
      </c>
      <c r="B279" t="n">
        <v>1</v>
      </c>
      <c r="C279" t="inlineStr">
        <is>
          <t>Kuzco</t>
        </is>
      </c>
      <c r="D279" t="inlineStr">
        <is>
          <t>Kuzco – Kuzco limited edition pin (December)</t>
        </is>
      </c>
      <c r="E279" t="inlineStr"/>
      <c r="F279" t="inlineStr"/>
      <c r="G279" t="inlineStr">
        <is>
          <t>N</t>
        </is>
      </c>
      <c r="H279" t="inlineStr"/>
      <c r="I279" t="inlineStr">
        <is>
          <t>none</t>
        </is>
      </c>
      <c r="J279" t="inlineStr">
        <is>
          <t>candidate</t>
        </is>
      </c>
      <c r="K279" t="inlineStr">
        <is>
          <t>Low</t>
        </is>
      </c>
      <c r="L279" t="inlineStr">
        <is>
          <t>dlp/2025/kuzco-le-2025-12-20/kuzco</t>
        </is>
      </c>
    </row>
    <row r="280">
      <c r="A280" t="inlineStr">
        <is>
          <t>PHS-0104</t>
        </is>
      </c>
      <c r="B280" t="n">
        <v>1</v>
      </c>
      <c r="C280" t="inlineStr">
        <is>
          <t>Genie</t>
        </is>
      </c>
      <c r="D280" t="inlineStr">
        <is>
          <t>Genie – Tarot Series - Genie</t>
        </is>
      </c>
      <c r="E280" t="inlineStr"/>
      <c r="F280" t="inlineStr"/>
      <c r="G280" t="inlineStr">
        <is>
          <t>N</t>
        </is>
      </c>
      <c r="H280" t="inlineStr"/>
      <c r="I280" t="inlineStr">
        <is>
          <t>none</t>
        </is>
      </c>
      <c r="J280" t="inlineStr">
        <is>
          <t>candidate</t>
        </is>
      </c>
      <c r="K280" t="inlineStr">
        <is>
          <t>Medium</t>
        </is>
      </c>
      <c r="L280" t="inlineStr">
        <is>
          <t>dlp/2026/tarot-series-genie/genie</t>
        </is>
      </c>
    </row>
    <row r="281">
      <c r="A281" t="inlineStr">
        <is>
          <t>PHS-0105</t>
        </is>
      </c>
      <c r="B281" t="n">
        <v>1</v>
      </c>
      <c r="C281" t="inlineStr">
        <is>
          <t>Dalmatians</t>
        </is>
      </c>
      <c r="D281" t="inlineStr">
        <is>
          <t>Dalmatians – Lady, Figaro and Dalmatians open edition pins</t>
        </is>
      </c>
      <c r="E281" t="inlineStr"/>
      <c r="F281" t="inlineStr"/>
      <c r="G281" t="inlineStr">
        <is>
          <t>N</t>
        </is>
      </c>
      <c r="H281" t="inlineStr"/>
      <c r="I281" t="inlineStr">
        <is>
          <t>none</t>
        </is>
      </c>
      <c r="J281" t="inlineStr">
        <is>
          <t>candidate</t>
        </is>
      </c>
      <c r="K281" t="inlineStr">
        <is>
          <t>Medium</t>
        </is>
      </c>
      <c r="L281" t="inlineStr">
        <is>
          <t>dlp/2026/cats-and-dogs-open-edition-jan/dalmatians</t>
        </is>
      </c>
    </row>
    <row r="282">
      <c r="A282" t="inlineStr">
        <is>
          <t>PHS-0105</t>
        </is>
      </c>
      <c r="B282" t="n">
        <v>2</v>
      </c>
      <c r="C282" t="inlineStr">
        <is>
          <t>Figaro</t>
        </is>
      </c>
      <c r="D282" t="inlineStr">
        <is>
          <t>Figaro – Lady, Figaro and Dalmatians open edition pins</t>
        </is>
      </c>
      <c r="E282" t="inlineStr"/>
      <c r="F282" t="inlineStr"/>
      <c r="G282" t="inlineStr">
        <is>
          <t>N</t>
        </is>
      </c>
      <c r="H282" t="inlineStr"/>
      <c r="I282" t="inlineStr">
        <is>
          <t>none</t>
        </is>
      </c>
      <c r="J282" t="inlineStr">
        <is>
          <t>candidate</t>
        </is>
      </c>
      <c r="K282" t="inlineStr">
        <is>
          <t>Medium</t>
        </is>
      </c>
      <c r="L282" t="inlineStr">
        <is>
          <t>dlp/2026/cats-and-dogs-open-edition-jan/figaro</t>
        </is>
      </c>
    </row>
    <row r="283">
      <c r="A283" t="inlineStr">
        <is>
          <t>PHS-0105</t>
        </is>
      </c>
      <c r="B283" t="n">
        <v>3</v>
      </c>
      <c r="C283" t="inlineStr">
        <is>
          <t>Lady</t>
        </is>
      </c>
      <c r="D283" t="inlineStr">
        <is>
          <t>Lady – Lady, Figaro and Dalmatians open edition pins</t>
        </is>
      </c>
      <c r="E283" t="inlineStr"/>
      <c r="F283" t="inlineStr"/>
      <c r="G283" t="inlineStr">
        <is>
          <t>N</t>
        </is>
      </c>
      <c r="H283" t="inlineStr"/>
      <c r="I283" t="inlineStr">
        <is>
          <t>none</t>
        </is>
      </c>
      <c r="J283" t="inlineStr">
        <is>
          <t>candidate</t>
        </is>
      </c>
      <c r="K283" t="inlineStr">
        <is>
          <t>Medium</t>
        </is>
      </c>
      <c r="L283" t="inlineStr">
        <is>
          <t>dlp/2026/cats-and-dogs-open-edition-jan/lady</t>
        </is>
      </c>
    </row>
    <row r="284">
      <c r="A284" t="inlineStr">
        <is>
          <t>PHS-0106</t>
        </is>
      </c>
      <c r="B284" t="n">
        <v>1</v>
      </c>
      <c r="C284" t="inlineStr">
        <is>
          <t>Hercules</t>
        </is>
      </c>
      <c r="D284" t="inlineStr">
        <is>
          <t>Hercules – Voyage Series - Hercules</t>
        </is>
      </c>
      <c r="E284" t="inlineStr"/>
      <c r="F284" t="inlineStr"/>
      <c r="G284" t="inlineStr">
        <is>
          <t>N</t>
        </is>
      </c>
      <c r="H284" t="inlineStr"/>
      <c r="I284" t="inlineStr">
        <is>
          <t>none</t>
        </is>
      </c>
      <c r="J284" t="inlineStr">
        <is>
          <t>candidate</t>
        </is>
      </c>
      <c r="K284" t="inlineStr">
        <is>
          <t>Medium</t>
        </is>
      </c>
      <c r="L284" t="inlineStr">
        <is>
          <t>dlp/2026/voyage-series-hercules/hercules</t>
        </is>
      </c>
    </row>
    <row r="285">
      <c r="A285" t="inlineStr">
        <is>
          <t>PHS-0107</t>
        </is>
      </c>
      <c r="B285" t="n">
        <v>1</v>
      </c>
      <c r="C285" t="inlineStr"/>
      <c r="D285" t="inlineStr"/>
      <c r="E285" t="inlineStr"/>
      <c r="F285" t="n">
        <v>1000</v>
      </c>
      <c r="G285" t="inlineStr">
        <is>
          <t>N</t>
        </is>
      </c>
      <c r="H285" t="inlineStr"/>
      <c r="I285" t="inlineStr">
        <is>
          <t>none</t>
        </is>
      </c>
      <c r="J285" t="inlineStr">
        <is>
          <t>candidate</t>
        </is>
      </c>
      <c r="K285" t="inlineStr">
        <is>
          <t>Unverified</t>
        </is>
      </c>
      <c r="L285" t="inlineStr">
        <is>
          <t>dlp/2026/world-of-frozen-countdown-2-months/come-visit-world-of-frozen</t>
        </is>
      </c>
    </row>
    <row r="286">
      <c r="A286" t="inlineStr">
        <is>
          <t>PHS-0108</t>
        </is>
      </c>
      <c r="B286" t="n">
        <v>1</v>
      </c>
      <c r="C286" t="inlineStr">
        <is>
          <t>Mad Hatter</t>
        </is>
      </c>
      <c r="D286" t="inlineStr">
        <is>
          <t>Mad Hatter – Series Tarot - Mad Hatter</t>
        </is>
      </c>
      <c r="E286" t="inlineStr"/>
      <c r="F286" t="inlineStr"/>
      <c r="G286" t="inlineStr">
        <is>
          <t>N</t>
        </is>
      </c>
      <c r="H286" t="inlineStr"/>
      <c r="I286" t="inlineStr">
        <is>
          <t>none</t>
        </is>
      </c>
      <c r="J286" t="inlineStr">
        <is>
          <t>candidate</t>
        </is>
      </c>
      <c r="K286" t="inlineStr">
        <is>
          <t>Medium</t>
        </is>
      </c>
      <c r="L286" t="inlineStr">
        <is>
          <t>dlp/2026/tarot-series-mad-hatter/mad-hatter</t>
        </is>
      </c>
    </row>
    <row r="287">
      <c r="A287" t="inlineStr">
        <is>
          <t>PHS-0109</t>
        </is>
      </c>
      <c r="B287" t="n">
        <v>1</v>
      </c>
      <c r="C287" t="inlineStr">
        <is>
          <t>Jack Skellington; Sally</t>
        </is>
      </c>
      <c r="D287" t="inlineStr">
        <is>
          <t>Jack Skellington &amp; Sally – Love on Clouds (Valentine's)</t>
        </is>
      </c>
      <c r="E287" t="inlineStr"/>
      <c r="F287" t="n">
        <v>1000</v>
      </c>
      <c r="G287" t="inlineStr">
        <is>
          <t>N</t>
        </is>
      </c>
      <c r="H287" t="inlineStr"/>
      <c r="I287" t="inlineStr">
        <is>
          <t>none</t>
        </is>
      </c>
      <c r="J287" t="inlineStr">
        <is>
          <t>candidate</t>
        </is>
      </c>
      <c r="K287" t="inlineStr">
        <is>
          <t>Medium</t>
        </is>
      </c>
      <c r="L287" t="inlineStr">
        <is>
          <t>dlp/2026/valentines-love-on-clouds/jack-and-sally</t>
        </is>
      </c>
    </row>
    <row r="288">
      <c r="A288" t="inlineStr">
        <is>
          <t>PHS-0109</t>
        </is>
      </c>
      <c r="B288" t="n">
        <v>2</v>
      </c>
      <c r="C288" t="inlineStr">
        <is>
          <t>Mickey Mouse; Minnie Mouse</t>
        </is>
      </c>
      <c r="D288" t="inlineStr">
        <is>
          <t>Mickey Mouse &amp; Minnie Mouse – Love on Clouds (Valentine's)</t>
        </is>
      </c>
      <c r="E288" t="inlineStr"/>
      <c r="F288" t="n">
        <v>1000</v>
      </c>
      <c r="G288" t="inlineStr">
        <is>
          <t>N</t>
        </is>
      </c>
      <c r="H288" t="inlineStr"/>
      <c r="I288" t="inlineStr">
        <is>
          <t>none</t>
        </is>
      </c>
      <c r="J288" t="inlineStr">
        <is>
          <t>candidate</t>
        </is>
      </c>
      <c r="K288" t="inlineStr">
        <is>
          <t>Medium</t>
        </is>
      </c>
      <c r="L288" t="inlineStr">
        <is>
          <t>dlp/2026/valentines-love-on-clouds/mickey-and-minnie</t>
        </is>
      </c>
    </row>
    <row r="289">
      <c r="A289" t="inlineStr">
        <is>
          <t>PHS-0109</t>
        </is>
      </c>
      <c r="B289" t="n">
        <v>3</v>
      </c>
      <c r="C289" t="inlineStr">
        <is>
          <t>Angel; Lilo; Stitch</t>
        </is>
      </c>
      <c r="D289" t="inlineStr">
        <is>
          <t>Angel &amp; Lilo &amp; Stitch – Love on Clouds (Valentine's)</t>
        </is>
      </c>
      <c r="E289" t="inlineStr"/>
      <c r="F289" t="n">
        <v>1000</v>
      </c>
      <c r="G289" t="inlineStr">
        <is>
          <t>N</t>
        </is>
      </c>
      <c r="H289" t="inlineStr"/>
      <c r="I289" t="inlineStr">
        <is>
          <t>none</t>
        </is>
      </c>
      <c r="J289" t="inlineStr">
        <is>
          <t>candidate</t>
        </is>
      </c>
      <c r="K289" t="inlineStr">
        <is>
          <t>Medium</t>
        </is>
      </c>
      <c r="L289" t="inlineStr">
        <is>
          <t>dlp/2026/valentines-love-on-clouds/stitch-and-angel</t>
        </is>
      </c>
    </row>
    <row r="290">
      <c r="A290" t="inlineStr">
        <is>
          <t>PHS-0110</t>
        </is>
      </c>
      <c r="B290" t="n">
        <v>1</v>
      </c>
      <c r="C290" t="inlineStr">
        <is>
          <t>Aladdin</t>
        </is>
      </c>
      <c r="D290" t="inlineStr">
        <is>
          <t>Aladdin – Prince 'Love' pins</t>
        </is>
      </c>
      <c r="E290" t="inlineStr"/>
      <c r="F290" t="n">
        <v>1000</v>
      </c>
      <c r="G290" t="inlineStr">
        <is>
          <t>N</t>
        </is>
      </c>
      <c r="H290" t="inlineStr"/>
      <c r="I290" t="inlineStr">
        <is>
          <t>none</t>
        </is>
      </c>
      <c r="J290" t="inlineStr">
        <is>
          <t>candidate</t>
        </is>
      </c>
      <c r="K290" t="inlineStr">
        <is>
          <t>Medium</t>
        </is>
      </c>
      <c r="L290" t="inlineStr">
        <is>
          <t>dlp/2026/prince-love-open-edition/aladdin</t>
        </is>
      </c>
    </row>
    <row r="291">
      <c r="A291" t="inlineStr">
        <is>
          <t>PHS-0110</t>
        </is>
      </c>
      <c r="B291" t="n">
        <v>2</v>
      </c>
      <c r="C291" t="inlineStr">
        <is>
          <t>Prince Eric</t>
        </is>
      </c>
      <c r="D291" t="inlineStr">
        <is>
          <t>Prince Eric – Prince 'Love' pins</t>
        </is>
      </c>
      <c r="E291" t="inlineStr"/>
      <c r="F291" t="n">
        <v>1000</v>
      </c>
      <c r="G291" t="inlineStr">
        <is>
          <t>N</t>
        </is>
      </c>
      <c r="H291" t="inlineStr"/>
      <c r="I291" t="inlineStr">
        <is>
          <t>none</t>
        </is>
      </c>
      <c r="J291" t="inlineStr">
        <is>
          <t>candidate</t>
        </is>
      </c>
      <c r="K291" t="inlineStr">
        <is>
          <t>Medium</t>
        </is>
      </c>
      <c r="L291" t="inlineStr">
        <is>
          <t>dlp/2026/prince-love-open-edition/eric</t>
        </is>
      </c>
    </row>
    <row r="292">
      <c r="A292" t="inlineStr">
        <is>
          <t>PHS-0110</t>
        </is>
      </c>
      <c r="B292" t="n">
        <v>3</v>
      </c>
      <c r="C292" t="inlineStr">
        <is>
          <t>Flynn Rider</t>
        </is>
      </c>
      <c r="D292" t="inlineStr">
        <is>
          <t>Flynn Rider – Prince 'Love' pins</t>
        </is>
      </c>
      <c r="E292" t="inlineStr"/>
      <c r="F292" t="n">
        <v>1000</v>
      </c>
      <c r="G292" t="inlineStr">
        <is>
          <t>N</t>
        </is>
      </c>
      <c r="H292" t="inlineStr"/>
      <c r="I292" t="inlineStr">
        <is>
          <t>none</t>
        </is>
      </c>
      <c r="J292" t="inlineStr">
        <is>
          <t>candidate</t>
        </is>
      </c>
      <c r="K292" t="inlineStr">
        <is>
          <t>Medium</t>
        </is>
      </c>
      <c r="L292" t="inlineStr">
        <is>
          <t>dlp/2026/prince-love-open-edition/flynn</t>
        </is>
      </c>
    </row>
    <row r="293">
      <c r="A293" t="inlineStr">
        <is>
          <t>PHS-0110</t>
        </is>
      </c>
      <c r="B293" t="n">
        <v>4</v>
      </c>
      <c r="C293" t="inlineStr">
        <is>
          <t>Prince Phillip</t>
        </is>
      </c>
      <c r="D293" t="inlineStr">
        <is>
          <t>Prince Phillip – Prince 'Love' pins</t>
        </is>
      </c>
      <c r="E293" t="inlineStr"/>
      <c r="F293" t="n">
        <v>1000</v>
      </c>
      <c r="G293" t="inlineStr">
        <is>
          <t>N</t>
        </is>
      </c>
      <c r="H293" t="inlineStr"/>
      <c r="I293" t="inlineStr">
        <is>
          <t>none</t>
        </is>
      </c>
      <c r="J293" t="inlineStr">
        <is>
          <t>candidate</t>
        </is>
      </c>
      <c r="K293" t="inlineStr">
        <is>
          <t>Medium</t>
        </is>
      </c>
      <c r="L293" t="inlineStr">
        <is>
          <t>dlp/2026/prince-love-open-edition/phillip</t>
        </is>
      </c>
    </row>
    <row r="294">
      <c r="A294" t="inlineStr">
        <is>
          <t>PHS-0111</t>
        </is>
      </c>
      <c r="B294" t="n">
        <v>1</v>
      </c>
      <c r="C294" t="inlineStr">
        <is>
          <t>Babette; Fifi; Lumiere; Plumette</t>
        </is>
      </c>
      <c r="D294" t="inlineStr">
        <is>
          <t>Babette &amp; Fifi &amp; Lumiere &amp; Plumette – Saint Valentine 2026</t>
        </is>
      </c>
      <c r="E294" t="inlineStr"/>
      <c r="F294" t="inlineStr"/>
      <c r="G294" t="inlineStr">
        <is>
          <t>N</t>
        </is>
      </c>
      <c r="H294" t="inlineStr"/>
      <c r="I294" t="inlineStr">
        <is>
          <t>none</t>
        </is>
      </c>
      <c r="J294" t="inlineStr">
        <is>
          <t>candidate</t>
        </is>
      </c>
      <c r="K294" t="inlineStr">
        <is>
          <t>Medium</t>
        </is>
      </c>
      <c r="L294" t="inlineStr">
        <is>
          <t>dlp/2026/saint-valentine-2026/lumiere-and-partner</t>
        </is>
      </c>
    </row>
    <row r="295">
      <c r="A295" t="inlineStr">
        <is>
          <t>PHS-0112</t>
        </is>
      </c>
      <c r="B295" t="n">
        <v>1</v>
      </c>
      <c r="C295" t="inlineStr">
        <is>
          <t>Stitch</t>
        </is>
      </c>
      <c r="D295" t="inlineStr">
        <is>
          <t>Stitch – Voyage Series - Stitch (Hawaii)</t>
        </is>
      </c>
      <c r="E295" t="inlineStr"/>
      <c r="F295" t="inlineStr"/>
      <c r="G295" t="inlineStr">
        <is>
          <t>N</t>
        </is>
      </c>
      <c r="H295" t="inlineStr"/>
      <c r="I295" t="inlineStr">
        <is>
          <t>none</t>
        </is>
      </c>
      <c r="J295" t="inlineStr">
        <is>
          <t>candidate</t>
        </is>
      </c>
      <c r="K295" t="inlineStr">
        <is>
          <t>Medium</t>
        </is>
      </c>
      <c r="L295" t="inlineStr">
        <is>
          <t>dlp/2026/voyage-series-stitch-hawaii/stitch</t>
        </is>
      </c>
    </row>
    <row r="296">
      <c r="A296" t="inlineStr">
        <is>
          <t>PHS-0113</t>
        </is>
      </c>
      <c r="B296" t="n">
        <v>1</v>
      </c>
      <c r="C296" t="inlineStr">
        <is>
          <t>Anna; Elsa; Kristoff; Olaf; Sven</t>
        </is>
      </c>
      <c r="D296" t="inlineStr">
        <is>
          <t>World of Frozen countdown jumbo pin</t>
        </is>
      </c>
      <c r="E296" t="inlineStr"/>
      <c r="F296" t="n">
        <v>1000</v>
      </c>
      <c r="G296" t="inlineStr">
        <is>
          <t>N</t>
        </is>
      </c>
      <c r="H296" t="inlineStr"/>
      <c r="I296" t="inlineStr">
        <is>
          <t>none</t>
        </is>
      </c>
      <c r="J296" t="inlineStr">
        <is>
          <t>candidate</t>
        </is>
      </c>
      <c r="K296" t="inlineStr">
        <is>
          <t>Medium</t>
        </is>
      </c>
      <c r="L296" t="inlineStr">
        <is>
          <t>dlp/2026/world-of-frozen-jumbo/world-of-frozen-jumbo</t>
        </is>
      </c>
    </row>
    <row r="297">
      <c r="A297" t="inlineStr">
        <is>
          <t>PHS-0114</t>
        </is>
      </c>
      <c r="B297" t="n">
        <v>1</v>
      </c>
      <c r="C297" t="inlineStr">
        <is>
          <t>Ariel</t>
        </is>
      </c>
      <c r="D297" t="inlineStr">
        <is>
          <t>Ariel – Princess open edition pins (Ariel, Jasmine)</t>
        </is>
      </c>
      <c r="E297" t="inlineStr"/>
      <c r="F297" t="inlineStr"/>
      <c r="G297" t="inlineStr">
        <is>
          <t>N</t>
        </is>
      </c>
      <c r="H297" t="inlineStr"/>
      <c r="I297" t="inlineStr">
        <is>
          <t>none</t>
        </is>
      </c>
      <c r="J297" t="inlineStr">
        <is>
          <t>candidate</t>
        </is>
      </c>
      <c r="K297" t="inlineStr">
        <is>
          <t>Medium</t>
        </is>
      </c>
      <c r="L297" t="inlineStr">
        <is>
          <t>dlp/2026/princess-open-edition-march/ariel</t>
        </is>
      </c>
    </row>
    <row r="298">
      <c r="A298" t="inlineStr">
        <is>
          <t>PHS-0114</t>
        </is>
      </c>
      <c r="B298" t="n">
        <v>2</v>
      </c>
      <c r="C298" t="inlineStr">
        <is>
          <t>Jasmine</t>
        </is>
      </c>
      <c r="D298" t="inlineStr">
        <is>
          <t>Jasmine – Princess open edition pins (Ariel, Jasmine)</t>
        </is>
      </c>
      <c r="E298" t="inlineStr"/>
      <c r="F298" t="inlineStr"/>
      <c r="G298" t="inlineStr">
        <is>
          <t>N</t>
        </is>
      </c>
      <c r="H298" t="inlineStr"/>
      <c r="I298" t="inlineStr">
        <is>
          <t>none</t>
        </is>
      </c>
      <c r="J298" t="inlineStr">
        <is>
          <t>candidate</t>
        </is>
      </c>
      <c r="K298" t="inlineStr">
        <is>
          <t>Medium</t>
        </is>
      </c>
      <c r="L298" t="inlineStr">
        <is>
          <t>dlp/2026/princess-open-edition-march/jasmine</t>
        </is>
      </c>
    </row>
    <row r="299">
      <c r="A299" t="inlineStr">
        <is>
          <t>PHS-0115</t>
        </is>
      </c>
      <c r="B299" t="n">
        <v>1</v>
      </c>
      <c r="C299" t="inlineStr">
        <is>
          <t>Prince John</t>
        </is>
      </c>
      <c r="D299" t="inlineStr">
        <is>
          <t>Prince John – St. Patrick's Day - Prince John</t>
        </is>
      </c>
      <c r="E299" t="inlineStr"/>
      <c r="F299" t="inlineStr"/>
      <c r="G299" t="inlineStr">
        <is>
          <t>N</t>
        </is>
      </c>
      <c r="H299" t="inlineStr"/>
      <c r="I299" t="inlineStr">
        <is>
          <t>none</t>
        </is>
      </c>
      <c r="J299" t="inlineStr">
        <is>
          <t>candidate</t>
        </is>
      </c>
      <c r="K299" t="inlineStr">
        <is>
          <t>Medium</t>
        </is>
      </c>
      <c r="L299" t="inlineStr">
        <is>
          <t>dlp/2026/st-patricks-day-2026/prince-john</t>
        </is>
      </c>
    </row>
    <row r="300">
      <c r="A300" t="inlineStr">
        <is>
          <t>PHS-0116</t>
        </is>
      </c>
      <c r="B300" t="n">
        <v>1</v>
      </c>
      <c r="C300" t="inlineStr">
        <is>
          <t>Miguel</t>
        </is>
      </c>
      <c r="D300" t="inlineStr">
        <is>
          <t>Miguel – Voyage Series - Miguel</t>
        </is>
      </c>
      <c r="E300" t="inlineStr"/>
      <c r="F300" t="inlineStr"/>
      <c r="G300" t="inlineStr">
        <is>
          <t>N</t>
        </is>
      </c>
      <c r="H300" t="inlineStr"/>
      <c r="I300" t="inlineStr">
        <is>
          <t>none</t>
        </is>
      </c>
      <c r="J300" t="inlineStr">
        <is>
          <t>candidate</t>
        </is>
      </c>
      <c r="K300" t="inlineStr">
        <is>
          <t>Medium</t>
        </is>
      </c>
      <c r="L300" t="inlineStr">
        <is>
          <t>dlp/2026/voyage-series-miguel/miguel</t>
        </is>
      </c>
    </row>
    <row r="301">
      <c r="A301" t="inlineStr">
        <is>
          <t>PHS-0117</t>
        </is>
      </c>
      <c r="B301" t="n">
        <v>1</v>
      </c>
      <c r="C301" t="inlineStr">
        <is>
          <t>Heimlich</t>
        </is>
      </c>
      <c r="D301" t="inlineStr">
        <is>
          <t>Heimlich – Spring - Heimlich</t>
        </is>
      </c>
      <c r="E301" t="inlineStr"/>
      <c r="F301" t="inlineStr"/>
      <c r="G301" t="inlineStr">
        <is>
          <t>N</t>
        </is>
      </c>
      <c r="H301" t="inlineStr"/>
      <c r="I301" t="inlineStr">
        <is>
          <t>none</t>
        </is>
      </c>
      <c r="J301" t="inlineStr">
        <is>
          <t>candidate</t>
        </is>
      </c>
      <c r="K301" t="inlineStr">
        <is>
          <t>Medium</t>
        </is>
      </c>
      <c r="L301" t="inlineStr">
        <is>
          <t>dlp/2026/spring-2026-heimlich/heimlich</t>
        </is>
      </c>
    </row>
    <row r="302">
      <c r="A302" t="inlineStr">
        <is>
          <t>PHS-0118</t>
        </is>
      </c>
      <c r="B302" t="n">
        <v>1</v>
      </c>
      <c r="C302" t="inlineStr">
        <is>
          <t>Fauna; Flora; Merryweather; one of the three good fairies</t>
        </is>
      </c>
      <c r="D302" t="inlineStr">
        <is>
          <t>Fauna &amp; Flora &amp; Merryweather &amp; one of the three good fairies – Tarot Series - Three Fairies</t>
        </is>
      </c>
      <c r="E302" t="inlineStr"/>
      <c r="F302" t="inlineStr"/>
      <c r="G302" t="inlineStr">
        <is>
          <t>N</t>
        </is>
      </c>
      <c r="H302" t="inlineStr"/>
      <c r="I302" t="inlineStr">
        <is>
          <t>none</t>
        </is>
      </c>
      <c r="J302" t="inlineStr">
        <is>
          <t>candidate</t>
        </is>
      </c>
      <c r="K302" t="inlineStr">
        <is>
          <t>Medium</t>
        </is>
      </c>
      <c r="L302" t="inlineStr">
        <is>
          <t>dlp/2026/tarot-series-three-fairies/three-fairies</t>
        </is>
      </c>
    </row>
    <row r="303">
      <c r="A303" t="inlineStr">
        <is>
          <t>PHS-0119</t>
        </is>
      </c>
      <c r="B303" t="n">
        <v>1</v>
      </c>
      <c r="C303" t="inlineStr">
        <is>
          <t>Chip; Dale</t>
        </is>
      </c>
      <c r="D303" t="inlineStr">
        <is>
          <t>Chip &amp; Dale – Nap Time</t>
        </is>
      </c>
      <c r="E303" t="inlineStr"/>
      <c r="F303" t="inlineStr"/>
      <c r="G303" t="inlineStr">
        <is>
          <t>N</t>
        </is>
      </c>
      <c r="H303" t="inlineStr"/>
      <c r="I303" t="inlineStr">
        <is>
          <t>none</t>
        </is>
      </c>
      <c r="J303" t="inlineStr">
        <is>
          <t>candidate</t>
        </is>
      </c>
      <c r="K303" t="inlineStr">
        <is>
          <t>Medium</t>
        </is>
      </c>
      <c r="L303" t="inlineStr">
        <is>
          <t>dlp/2026/nap-time-open-edition/chip-and-dale</t>
        </is>
      </c>
    </row>
    <row r="304">
      <c r="A304" t="inlineStr">
        <is>
          <t>PHS-0119</t>
        </is>
      </c>
      <c r="B304" t="n">
        <v>2</v>
      </c>
      <c r="C304" t="inlineStr">
        <is>
          <t>Dumbo</t>
        </is>
      </c>
      <c r="D304" t="inlineStr">
        <is>
          <t>Dumbo – Nap Time</t>
        </is>
      </c>
      <c r="E304" t="inlineStr"/>
      <c r="F304" t="inlineStr"/>
      <c r="G304" t="inlineStr">
        <is>
          <t>N</t>
        </is>
      </c>
      <c r="H304" t="inlineStr"/>
      <c r="I304" t="inlineStr">
        <is>
          <t>none</t>
        </is>
      </c>
      <c r="J304" t="inlineStr">
        <is>
          <t>candidate</t>
        </is>
      </c>
      <c r="K304" t="inlineStr">
        <is>
          <t>Medium</t>
        </is>
      </c>
      <c r="L304" t="inlineStr">
        <is>
          <t>dlp/2026/nap-time-open-edition/dumbo</t>
        </is>
      </c>
    </row>
    <row r="305">
      <c r="A305" t="inlineStr">
        <is>
          <t>PHS-0119</t>
        </is>
      </c>
      <c r="B305" t="n">
        <v>3</v>
      </c>
      <c r="C305" t="inlineStr">
        <is>
          <t>Eeyore</t>
        </is>
      </c>
      <c r="D305" t="inlineStr">
        <is>
          <t>Eeyore – Nap Time</t>
        </is>
      </c>
      <c r="E305" t="inlineStr"/>
      <c r="F305" t="inlineStr"/>
      <c r="G305" t="inlineStr">
        <is>
          <t>N</t>
        </is>
      </c>
      <c r="H305" t="inlineStr"/>
      <c r="I305" t="inlineStr">
        <is>
          <t>none</t>
        </is>
      </c>
      <c r="J305" t="inlineStr">
        <is>
          <t>candidate</t>
        </is>
      </c>
      <c r="K305" t="inlineStr">
        <is>
          <t>Medium</t>
        </is>
      </c>
      <c r="L305" t="inlineStr">
        <is>
          <t>dlp/2026/nap-time-open-edition/eeyore</t>
        </is>
      </c>
    </row>
    <row r="306">
      <c r="A306" t="inlineStr">
        <is>
          <t>PHS-0119</t>
        </is>
      </c>
      <c r="B306" t="n">
        <v>4</v>
      </c>
      <c r="C306" t="inlineStr">
        <is>
          <t>Marie</t>
        </is>
      </c>
      <c r="D306" t="inlineStr">
        <is>
          <t>Marie – Nap Time</t>
        </is>
      </c>
      <c r="E306" t="inlineStr"/>
      <c r="F306" t="inlineStr"/>
      <c r="G306" t="inlineStr">
        <is>
          <t>N</t>
        </is>
      </c>
      <c r="H306" t="inlineStr"/>
      <c r="I306" t="inlineStr">
        <is>
          <t>none</t>
        </is>
      </c>
      <c r="J306" t="inlineStr">
        <is>
          <t>candidate</t>
        </is>
      </c>
      <c r="K306" t="inlineStr">
        <is>
          <t>Medium</t>
        </is>
      </c>
      <c r="L306" t="inlineStr">
        <is>
          <t>dlp/2026/nap-time-open-edition/marie</t>
        </is>
      </c>
    </row>
    <row r="307">
      <c r="A307" t="inlineStr">
        <is>
          <t>PHS-0120</t>
        </is>
      </c>
      <c r="B307" t="n">
        <v>1</v>
      </c>
      <c r="C307" t="inlineStr">
        <is>
          <t>Bruno</t>
        </is>
      </c>
      <c r="D307" t="inlineStr">
        <is>
          <t>Bruno – Disney Tales of Magic - Bruno</t>
        </is>
      </c>
      <c r="E307" t="inlineStr"/>
      <c r="F307" t="inlineStr"/>
      <c r="G307" t="inlineStr">
        <is>
          <t>N</t>
        </is>
      </c>
      <c r="H307" t="inlineStr"/>
      <c r="I307" t="inlineStr">
        <is>
          <t>none</t>
        </is>
      </c>
      <c r="J307" t="inlineStr">
        <is>
          <t>candidate</t>
        </is>
      </c>
      <c r="K307" t="inlineStr">
        <is>
          <t>Medium</t>
        </is>
      </c>
      <c r="L307" t="inlineStr">
        <is>
          <t>dlp/2026/tales-of-magic-bruno/bruno</t>
        </is>
      </c>
    </row>
    <row r="308">
      <c r="A308" t="inlineStr">
        <is>
          <t>PHS-0121</t>
        </is>
      </c>
      <c r="B308" t="n">
        <v>1</v>
      </c>
      <c r="C308" t="inlineStr">
        <is>
          <t>Thumper</t>
        </is>
      </c>
      <c r="D308" t="inlineStr">
        <is>
          <t>Thumper – Disney Tales of Magic - Thumper</t>
        </is>
      </c>
      <c r="E308" t="inlineStr"/>
      <c r="F308" t="inlineStr"/>
      <c r="G308" t="inlineStr">
        <is>
          <t>N</t>
        </is>
      </c>
      <c r="H308" t="inlineStr"/>
      <c r="I308" t="inlineStr">
        <is>
          <t>none</t>
        </is>
      </c>
      <c r="J308" t="inlineStr">
        <is>
          <t>candidate</t>
        </is>
      </c>
      <c r="K308" t="inlineStr">
        <is>
          <t>Low</t>
        </is>
      </c>
      <c r="L308" t="inlineStr">
        <is>
          <t>dlp/2026/tales-of-magic-thumper/thumper</t>
        </is>
      </c>
    </row>
    <row r="309">
      <c r="A309" t="inlineStr">
        <is>
          <t>PHS-0122</t>
        </is>
      </c>
      <c r="B309" t="n">
        <v>1</v>
      </c>
      <c r="C309" t="inlineStr">
        <is>
          <t>Flynn Rider; Rapunzel</t>
        </is>
      </c>
      <c r="D309" t="inlineStr">
        <is>
          <t>Flynn Rider &amp; Rapunzel – Tangled Spin - Rapunzel and Flynn</t>
        </is>
      </c>
      <c r="E309" t="inlineStr"/>
      <c r="F309" t="inlineStr"/>
      <c r="G309" t="inlineStr">
        <is>
          <t>N</t>
        </is>
      </c>
      <c r="H309" t="inlineStr"/>
      <c r="I309" t="inlineStr">
        <is>
          <t>none</t>
        </is>
      </c>
      <c r="J309" t="inlineStr">
        <is>
          <t>candidate</t>
        </is>
      </c>
      <c r="K309" t="inlineStr">
        <is>
          <t>Low</t>
        </is>
      </c>
      <c r="L309" t="inlineStr">
        <is>
          <t>dlp/2026/tangled-spin-rapunzel-flynn/rapunzel-and-flynn</t>
        </is>
      </c>
    </row>
    <row r="310">
      <c r="A310" t="inlineStr">
        <is>
          <t>PHS-0123</t>
        </is>
      </c>
      <c r="B310" t="n">
        <v>1</v>
      </c>
      <c r="C310" t="inlineStr">
        <is>
          <t>Grand Pabbie; Marshmallow; Olaf</t>
        </is>
      </c>
      <c r="D310" t="inlineStr">
        <is>
          <t>Grand Pabbie &amp; Marshmallow &amp; Olaf – Frozen Ever After attraction key</t>
        </is>
      </c>
      <c r="E310" t="inlineStr"/>
      <c r="F310" t="n">
        <v>2026</v>
      </c>
      <c r="G310" t="inlineStr">
        <is>
          <t>N</t>
        </is>
      </c>
      <c r="H310" t="inlineStr"/>
      <c r="I310" t="inlineStr">
        <is>
          <t>none</t>
        </is>
      </c>
      <c r="J310" t="inlineStr">
        <is>
          <t>candidate</t>
        </is>
      </c>
      <c r="K310" t="inlineStr">
        <is>
          <t>Low</t>
        </is>
      </c>
      <c r="L310" t="inlineStr">
        <is>
          <t>dlp/2026/frozen-ever-after-attraction-key/frozen-ever-after-key</t>
        </is>
      </c>
    </row>
    <row r="311">
      <c r="A311" t="inlineStr">
        <is>
          <t>PHS-0124</t>
        </is>
      </c>
      <c r="B311" t="n">
        <v>1</v>
      </c>
      <c r="C311" t="inlineStr">
        <is>
          <t>Lotso</t>
        </is>
      </c>
      <c r="D311" t="inlineStr">
        <is>
          <t>Lotso – Pixar gummy-style pins</t>
        </is>
      </c>
      <c r="E311" t="inlineStr"/>
      <c r="F311" t="inlineStr"/>
      <c r="G311" t="inlineStr">
        <is>
          <t>N</t>
        </is>
      </c>
      <c r="H311" t="inlineStr"/>
      <c r="I311" t="inlineStr">
        <is>
          <t>none</t>
        </is>
      </c>
      <c r="J311" t="inlineStr">
        <is>
          <t>candidate</t>
        </is>
      </c>
      <c r="K311" t="inlineStr">
        <is>
          <t>Medium</t>
        </is>
      </c>
      <c r="L311" t="inlineStr">
        <is>
          <t>dlp/2026/pixar-gummy-open-edition/lotso</t>
        </is>
      </c>
    </row>
    <row r="312">
      <c r="A312" t="inlineStr">
        <is>
          <t>PHS-0124</t>
        </is>
      </c>
      <c r="B312" t="n">
        <v>2</v>
      </c>
      <c r="C312" t="inlineStr">
        <is>
          <t>Sulley</t>
        </is>
      </c>
      <c r="D312" t="inlineStr">
        <is>
          <t>Sulley – Pixar gummy-style pins</t>
        </is>
      </c>
      <c r="E312" t="inlineStr"/>
      <c r="F312" t="inlineStr"/>
      <c r="G312" t="inlineStr">
        <is>
          <t>N</t>
        </is>
      </c>
      <c r="H312" t="inlineStr"/>
      <c r="I312" t="inlineStr">
        <is>
          <t>none</t>
        </is>
      </c>
      <c r="J312" t="inlineStr">
        <is>
          <t>candidate</t>
        </is>
      </c>
      <c r="K312" t="inlineStr">
        <is>
          <t>Medium</t>
        </is>
      </c>
      <c r="L312" t="inlineStr">
        <is>
          <t>dlp/2026/pixar-gummy-open-edition/sulley</t>
        </is>
      </c>
    </row>
    <row r="313">
      <c r="A313" t="inlineStr">
        <is>
          <t>PHS-0125</t>
        </is>
      </c>
      <c r="B313" t="n">
        <v>1</v>
      </c>
      <c r="C313" t="inlineStr">
        <is>
          <t>Carl; Carl Fredricksen; Ellie; Ellie Fredricksen</t>
        </is>
      </c>
      <c r="D313" t="inlineStr">
        <is>
          <t>Carl &amp; Carl Fredricksen &amp; Ellie &amp; Ellie Fredricksen – Disney Tales of Magic - Carl and Ellie</t>
        </is>
      </c>
      <c r="E313" t="inlineStr"/>
      <c r="F313" t="inlineStr"/>
      <c r="G313" t="inlineStr">
        <is>
          <t>N</t>
        </is>
      </c>
      <c r="H313" t="inlineStr"/>
      <c r="I313" t="inlineStr">
        <is>
          <t>none</t>
        </is>
      </c>
      <c r="J313" t="inlineStr">
        <is>
          <t>candidate</t>
        </is>
      </c>
      <c r="K313" t="inlineStr">
        <is>
          <t>Medium</t>
        </is>
      </c>
      <c r="L313" t="inlineStr">
        <is>
          <t>dlp/2026/tales-of-magic-carl-ellie/carl-and-ellie</t>
        </is>
      </c>
    </row>
    <row r="314">
      <c r="A314" t="inlineStr">
        <is>
          <t>PHS-0126</t>
        </is>
      </c>
      <c r="B314" t="n">
        <v>1</v>
      </c>
      <c r="C314" t="inlineStr">
        <is>
          <t>original Star Wars trio</t>
        </is>
      </c>
      <c r="D314" t="inlineStr">
        <is>
          <t>original Star Wars trio – May the 4th</t>
        </is>
      </c>
      <c r="E314" t="inlineStr"/>
      <c r="F314" t="inlineStr"/>
      <c r="G314" t="inlineStr">
        <is>
          <t>possible</t>
        </is>
      </c>
      <c r="H314" t="inlineStr"/>
      <c r="I314" t="inlineStr">
        <is>
          <t>none</t>
        </is>
      </c>
      <c r="J314" t="inlineStr">
        <is>
          <t>candidate</t>
        </is>
      </c>
      <c r="K314" t="inlineStr">
        <is>
          <t>Low</t>
        </is>
      </c>
      <c r="L314" t="inlineStr">
        <is>
          <t>dlp/2026/may-the-4th-2026/original-trio</t>
        </is>
      </c>
    </row>
    <row r="315">
      <c r="A315" t="inlineStr">
        <is>
          <t>PHS-0127</t>
        </is>
      </c>
      <c r="B315" t="n">
        <v>1</v>
      </c>
      <c r="C315" t="inlineStr">
        <is>
          <t>Belle</t>
        </is>
      </c>
      <c r="D315" t="inlineStr">
        <is>
          <t>Belle – Princess Series - Belle</t>
        </is>
      </c>
      <c r="E315" t="inlineStr"/>
      <c r="F315" t="inlineStr"/>
      <c r="G315" t="inlineStr">
        <is>
          <t>N</t>
        </is>
      </c>
      <c r="H315" t="inlineStr"/>
      <c r="I315" t="inlineStr">
        <is>
          <t>none</t>
        </is>
      </c>
      <c r="J315" t="inlineStr">
        <is>
          <t>candidate</t>
        </is>
      </c>
      <c r="K315" t="inlineStr">
        <is>
          <t>Medium</t>
        </is>
      </c>
      <c r="L315" t="inlineStr">
        <is>
          <t>dlp/2026/princess-studio-belle/belle</t>
        </is>
      </c>
    </row>
    <row r="316">
      <c r="A316" t="inlineStr">
        <is>
          <t>PHS-0128</t>
        </is>
      </c>
      <c r="B316" t="n">
        <v>1</v>
      </c>
      <c r="C316" t="inlineStr"/>
      <c r="D316" t="inlineStr">
        <is>
          <t>Avengers Campus – Disney Adventure World lands pins</t>
        </is>
      </c>
      <c r="E316" t="inlineStr"/>
      <c r="F316" t="inlineStr"/>
      <c r="G316" t="inlineStr">
        <is>
          <t>N</t>
        </is>
      </c>
      <c r="H316" t="inlineStr"/>
      <c r="I316" t="inlineStr">
        <is>
          <t>none</t>
        </is>
      </c>
      <c r="J316" t="inlineStr">
        <is>
          <t>candidate</t>
        </is>
      </c>
      <c r="K316" t="inlineStr">
        <is>
          <t>Medium</t>
        </is>
      </c>
      <c r="L316" t="inlineStr">
        <is>
          <t>dlp/2026/disney-adventure-world-lands/avengers-campus</t>
        </is>
      </c>
    </row>
    <row r="317">
      <c r="A317" t="inlineStr">
        <is>
          <t>PHS-0128</t>
        </is>
      </c>
      <c r="B317" t="n">
        <v>2</v>
      </c>
      <c r="C317" t="inlineStr"/>
      <c r="D317" t="inlineStr">
        <is>
          <t>La Place de Remy – Disney Adventure World lands pins</t>
        </is>
      </c>
      <c r="E317" t="inlineStr"/>
      <c r="F317" t="inlineStr"/>
      <c r="G317" t="inlineStr">
        <is>
          <t>N</t>
        </is>
      </c>
      <c r="H317" t="inlineStr"/>
      <c r="I317" t="inlineStr">
        <is>
          <t>none</t>
        </is>
      </c>
      <c r="J317" t="inlineStr">
        <is>
          <t>candidate</t>
        </is>
      </c>
      <c r="K317" t="inlineStr">
        <is>
          <t>Medium</t>
        </is>
      </c>
      <c r="L317" t="inlineStr">
        <is>
          <t>dlp/2026/disney-adventure-world-lands/place-de-remy</t>
        </is>
      </c>
    </row>
    <row r="318">
      <c r="A318" t="inlineStr">
        <is>
          <t>PHS-0128</t>
        </is>
      </c>
      <c r="B318" t="n">
        <v>3</v>
      </c>
      <c r="C318" t="inlineStr"/>
      <c r="D318" t="inlineStr">
        <is>
          <t>Toy Story Playland – Disney Adventure World lands pins</t>
        </is>
      </c>
      <c r="E318" t="inlineStr"/>
      <c r="F318" t="inlineStr"/>
      <c r="G318" t="inlineStr">
        <is>
          <t>N</t>
        </is>
      </c>
      <c r="H318" t="inlineStr"/>
      <c r="I318" t="inlineStr">
        <is>
          <t>none</t>
        </is>
      </c>
      <c r="J318" t="inlineStr">
        <is>
          <t>candidate</t>
        </is>
      </c>
      <c r="K318" t="inlineStr">
        <is>
          <t>Medium</t>
        </is>
      </c>
      <c r="L318" t="inlineStr">
        <is>
          <t>dlp/2026/disney-adventure-world-lands/toy-story-playland</t>
        </is>
      </c>
    </row>
    <row r="319">
      <c r="A319" t="inlineStr">
        <is>
          <t>PHS-0128</t>
        </is>
      </c>
      <c r="B319" t="n">
        <v>4</v>
      </c>
      <c r="C319" t="inlineStr"/>
      <c r="D319" t="inlineStr">
        <is>
          <t>World of Frozen – Disney Adventure World lands pins</t>
        </is>
      </c>
      <c r="E319" t="inlineStr"/>
      <c r="F319" t="inlineStr"/>
      <c r="G319" t="inlineStr">
        <is>
          <t>N</t>
        </is>
      </c>
      <c r="H319" t="inlineStr"/>
      <c r="I319" t="inlineStr">
        <is>
          <t>none</t>
        </is>
      </c>
      <c r="J319" t="inlineStr">
        <is>
          <t>candidate</t>
        </is>
      </c>
      <c r="K319" t="inlineStr">
        <is>
          <t>Medium</t>
        </is>
      </c>
      <c r="L319" t="inlineStr">
        <is>
          <t>dlp/2026/disney-adventure-world-lands/world-of-frozen</t>
        </is>
      </c>
    </row>
    <row r="320">
      <c r="A320" t="inlineStr">
        <is>
          <t>PHS-0129</t>
        </is>
      </c>
      <c r="B320" t="n">
        <v>1</v>
      </c>
      <c r="C320" t="inlineStr">
        <is>
          <t>Pascal</t>
        </is>
      </c>
      <c r="D320" t="inlineStr">
        <is>
          <t>Raiponce Tangled Spin attraction key</t>
        </is>
      </c>
      <c r="E320" t="inlineStr"/>
      <c r="F320" t="n">
        <v>2026</v>
      </c>
      <c r="G320" t="inlineStr">
        <is>
          <t>N</t>
        </is>
      </c>
      <c r="H320" t="inlineStr"/>
      <c r="I320" t="inlineStr">
        <is>
          <t>none</t>
        </is>
      </c>
      <c r="J320" t="inlineStr">
        <is>
          <t>candidate</t>
        </is>
      </c>
      <c r="K320" t="inlineStr">
        <is>
          <t>Medium</t>
        </is>
      </c>
      <c r="L320" t="inlineStr">
        <is>
          <t>dlp/2026/tangled-spin-attraction-key/tangled-spin-key</t>
        </is>
      </c>
    </row>
    <row r="321">
      <c r="A321" t="inlineStr">
        <is>
          <t>PHS-0130</t>
        </is>
      </c>
      <c r="B321" t="n">
        <v>1</v>
      </c>
      <c r="C321" t="inlineStr">
        <is>
          <t>Bernard; Bianca</t>
        </is>
      </c>
      <c r="D321" t="inlineStr">
        <is>
          <t>Bernard &amp; Bianca – Bernard and Bianca</t>
        </is>
      </c>
      <c r="E321" t="inlineStr"/>
      <c r="F321" t="inlineStr"/>
      <c r="G321" t="inlineStr">
        <is>
          <t>N</t>
        </is>
      </c>
      <c r="H321" t="inlineStr"/>
      <c r="I321" t="inlineStr">
        <is>
          <t>none</t>
        </is>
      </c>
      <c r="J321" t="inlineStr">
        <is>
          <t>candidate</t>
        </is>
      </c>
      <c r="K321" t="inlineStr">
        <is>
          <t>Low</t>
        </is>
      </c>
      <c r="L321" t="inlineStr">
        <is>
          <t>dlp/2026/rescuers-bernard-bianca/bernard-bianca</t>
        </is>
      </c>
    </row>
    <row r="322">
      <c r="A322" t="inlineStr">
        <is>
          <t>PHS-0131</t>
        </is>
      </c>
      <c r="B322" t="n">
        <v>1</v>
      </c>
      <c r="C322" t="inlineStr">
        <is>
          <t>Tarzan</t>
        </is>
      </c>
      <c r="D322" t="inlineStr">
        <is>
          <t>Tarzan – Tarzan</t>
        </is>
      </c>
      <c r="E322" t="inlineStr"/>
      <c r="F322" t="inlineStr"/>
      <c r="G322" t="inlineStr">
        <is>
          <t>N</t>
        </is>
      </c>
      <c r="H322" t="inlineStr"/>
      <c r="I322" t="inlineStr">
        <is>
          <t>none</t>
        </is>
      </c>
      <c r="J322" t="inlineStr">
        <is>
          <t>candidate</t>
        </is>
      </c>
      <c r="K322" t="inlineStr">
        <is>
          <t>Medium</t>
        </is>
      </c>
      <c r="L322" t="inlineStr">
        <is>
          <t>dlp/2026/tarzan/tarzan</t>
        </is>
      </c>
    </row>
    <row r="323">
      <c r="A323" t="inlineStr">
        <is>
          <t>PHS-0132</t>
        </is>
      </c>
      <c r="B323" t="n">
        <v>1</v>
      </c>
      <c r="C323" t="inlineStr">
        <is>
          <t>Mickey Mouse</t>
        </is>
      </c>
      <c r="D323" t="inlineStr">
        <is>
          <t>Mickey Mouse – Pride - Mickey and Minnie rainbow</t>
        </is>
      </c>
      <c r="E323" t="inlineStr"/>
      <c r="F323" t="inlineStr"/>
      <c r="G323" t="inlineStr">
        <is>
          <t>N</t>
        </is>
      </c>
      <c r="H323" t="inlineStr"/>
      <c r="I323" t="inlineStr">
        <is>
          <t>none</t>
        </is>
      </c>
      <c r="J323" t="inlineStr">
        <is>
          <t>candidate</t>
        </is>
      </c>
      <c r="K323" t="inlineStr">
        <is>
          <t>Low</t>
        </is>
      </c>
      <c r="L323" t="inlineStr">
        <is>
          <t>dlp/2026/pride-2026/mickey</t>
        </is>
      </c>
    </row>
    <row r="324">
      <c r="A324" t="inlineStr">
        <is>
          <t>PHS-0132</t>
        </is>
      </c>
      <c r="B324" t="n">
        <v>2</v>
      </c>
      <c r="C324" t="inlineStr">
        <is>
          <t>Mickey Mouse; Minnie Mouse</t>
        </is>
      </c>
      <c r="D324" t="inlineStr">
        <is>
          <t>Mickey Mouse &amp; Minnie Mouse – Pride - Mickey and Minnie rainbow</t>
        </is>
      </c>
      <c r="E324" t="inlineStr"/>
      <c r="F324" t="inlineStr"/>
      <c r="G324" t="inlineStr">
        <is>
          <t>N</t>
        </is>
      </c>
      <c r="H324" t="inlineStr"/>
      <c r="I324" t="inlineStr">
        <is>
          <t>none</t>
        </is>
      </c>
      <c r="J324" t="inlineStr">
        <is>
          <t>candidate</t>
        </is>
      </c>
      <c r="K324" t="inlineStr">
        <is>
          <t>Medium</t>
        </is>
      </c>
      <c r="L324" t="inlineStr">
        <is>
          <t>dlp/2026/pride-2026/mickey-and-minnie</t>
        </is>
      </c>
    </row>
    <row r="325">
      <c r="A325" t="inlineStr">
        <is>
          <t>PHS-0132</t>
        </is>
      </c>
      <c r="B325" t="n">
        <v>3</v>
      </c>
      <c r="C325" t="inlineStr">
        <is>
          <t>Minnie Mouse</t>
        </is>
      </c>
      <c r="D325" t="inlineStr">
        <is>
          <t>Minnie Mouse – Pride - Mickey and Minnie rainbow</t>
        </is>
      </c>
      <c r="E325" t="inlineStr"/>
      <c r="F325" t="inlineStr"/>
      <c r="G325" t="inlineStr">
        <is>
          <t>N</t>
        </is>
      </c>
      <c r="H325" t="inlineStr"/>
      <c r="I325" t="inlineStr">
        <is>
          <t>none</t>
        </is>
      </c>
      <c r="J325" t="inlineStr">
        <is>
          <t>candidate</t>
        </is>
      </c>
      <c r="K325" t="inlineStr">
        <is>
          <t>Low</t>
        </is>
      </c>
      <c r="L325" t="inlineStr">
        <is>
          <t>dlp/2026/pride-2026/minnie</t>
        </is>
      </c>
    </row>
    <row r="326">
      <c r="A326" t="inlineStr">
        <is>
          <t>PHS-0133</t>
        </is>
      </c>
      <c r="B326" t="n">
        <v>1</v>
      </c>
      <c r="C326" t="inlineStr">
        <is>
          <t>Maximus; Pascal</t>
        </is>
      </c>
      <c r="D326" t="inlineStr">
        <is>
          <t>Maximus &amp; Pascal – Tangled LE pins (June 6)</t>
        </is>
      </c>
      <c r="E326" t="inlineStr"/>
      <c r="F326" t="n">
        <v>800</v>
      </c>
      <c r="G326" t="inlineStr">
        <is>
          <t>N</t>
        </is>
      </c>
      <c r="H326" t="inlineStr"/>
      <c r="I326" t="inlineStr">
        <is>
          <t>none</t>
        </is>
      </c>
      <c r="J326" t="inlineStr">
        <is>
          <t>candidate</t>
        </is>
      </c>
      <c r="K326" t="inlineStr">
        <is>
          <t>Low</t>
        </is>
      </c>
      <c r="L326" t="inlineStr">
        <is>
          <t>dlp/2026/raiponce-tangled-spin-june/maximus-and-pascal</t>
        </is>
      </c>
    </row>
    <row r="327">
      <c r="A327" t="inlineStr">
        <is>
          <t>PHS-0133</t>
        </is>
      </c>
      <c r="B327" t="n">
        <v>2</v>
      </c>
      <c r="C327" t="inlineStr">
        <is>
          <t>Flynn Rider; Rapunzel</t>
        </is>
      </c>
      <c r="D327" t="inlineStr">
        <is>
          <t>Flynn Rider &amp; Rapunzel – Tangled LE pins (June 6)</t>
        </is>
      </c>
      <c r="E327" t="inlineStr"/>
      <c r="F327" t="n">
        <v>800</v>
      </c>
      <c r="G327" t="inlineStr">
        <is>
          <t>N</t>
        </is>
      </c>
      <c r="H327" t="inlineStr"/>
      <c r="I327" t="inlineStr">
        <is>
          <t>none</t>
        </is>
      </c>
      <c r="J327" t="inlineStr">
        <is>
          <t>candidate</t>
        </is>
      </c>
      <c r="K327" t="inlineStr">
        <is>
          <t>Medium</t>
        </is>
      </c>
      <c r="L327" t="inlineStr">
        <is>
          <t>dlp/2026/raiponce-tangled-spin-june/rapunzel-and-flynn</t>
        </is>
      </c>
    </row>
    <row r="328">
      <c r="A328" t="inlineStr">
        <is>
          <t>PHS-0133</t>
        </is>
      </c>
      <c r="B328" t="n">
        <v>3</v>
      </c>
      <c r="C328" t="inlineStr">
        <is>
          <t>The Lover; The Satyr; Vladimir</t>
        </is>
      </c>
      <c r="D328" t="inlineStr">
        <is>
          <t>The Lover &amp; The Satyr &amp; Vladimir – Tangled LE pins (June 6)</t>
        </is>
      </c>
      <c r="E328" t="inlineStr"/>
      <c r="F328" t="n">
        <v>800</v>
      </c>
      <c r="G328" t="inlineStr">
        <is>
          <t>N</t>
        </is>
      </c>
      <c r="H328" t="inlineStr"/>
      <c r="I328" t="inlineStr">
        <is>
          <t>none</t>
        </is>
      </c>
      <c r="J328" t="inlineStr">
        <is>
          <t>candidate</t>
        </is>
      </c>
      <c r="K328" t="inlineStr">
        <is>
          <t>Low</t>
        </is>
      </c>
      <c r="L328" t="inlineStr">
        <is>
          <t>dlp/2026/raiponce-tangled-spin-june/satyr-vladimir-lover</t>
        </is>
      </c>
    </row>
    <row r="329">
      <c r="A329" t="inlineStr">
        <is>
          <t>PHS-0134</t>
        </is>
      </c>
      <c r="B329" t="n">
        <v>1</v>
      </c>
      <c r="C329" t="inlineStr">
        <is>
          <t>Lightning McQueen</t>
        </is>
      </c>
      <c r="D329" t="inlineStr">
        <is>
          <t>Lightning McQueen – Pixar pins (Cars, WALL-E)</t>
        </is>
      </c>
      <c r="E329" t="inlineStr"/>
      <c r="F329" t="inlineStr"/>
      <c r="G329" t="inlineStr">
        <is>
          <t>N</t>
        </is>
      </c>
      <c r="H329" t="inlineStr"/>
      <c r="I329" t="inlineStr">
        <is>
          <t>none</t>
        </is>
      </c>
      <c r="J329" t="inlineStr">
        <is>
          <t>candidate</t>
        </is>
      </c>
      <c r="K329" t="inlineStr">
        <is>
          <t>Medium</t>
        </is>
      </c>
      <c r="L329" t="inlineStr">
        <is>
          <t>dlp/2026/pixar-cars-wall-e-june/lightning-mcqueen</t>
        </is>
      </c>
    </row>
    <row r="330">
      <c r="A330" t="inlineStr">
        <is>
          <t>PHS-0134</t>
        </is>
      </c>
      <c r="B330" t="n">
        <v>2</v>
      </c>
      <c r="C330" t="inlineStr">
        <is>
          <t>Mater</t>
        </is>
      </c>
      <c r="D330" t="inlineStr">
        <is>
          <t>Mater – Pixar pins (Cars, WALL-E)</t>
        </is>
      </c>
      <c r="E330" t="inlineStr"/>
      <c r="F330" t="inlineStr"/>
      <c r="G330" t="inlineStr">
        <is>
          <t>N</t>
        </is>
      </c>
      <c r="H330" t="inlineStr"/>
      <c r="I330" t="inlineStr">
        <is>
          <t>none</t>
        </is>
      </c>
      <c r="J330" t="inlineStr">
        <is>
          <t>candidate</t>
        </is>
      </c>
      <c r="K330" t="inlineStr">
        <is>
          <t>Medium</t>
        </is>
      </c>
      <c r="L330" t="inlineStr">
        <is>
          <t>dlp/2026/pixar-cars-wall-e-june/mater</t>
        </is>
      </c>
    </row>
    <row r="331">
      <c r="A331" t="inlineStr">
        <is>
          <t>PHS-0134</t>
        </is>
      </c>
      <c r="B331" t="n">
        <v>3</v>
      </c>
      <c r="C331" t="inlineStr">
        <is>
          <t>EVE; WALL-E</t>
        </is>
      </c>
      <c r="D331" t="inlineStr">
        <is>
          <t>EVE &amp; WALL-E – Pixar pins (Cars, WALL-E)</t>
        </is>
      </c>
      <c r="E331" t="inlineStr"/>
      <c r="F331" t="inlineStr"/>
      <c r="G331" t="inlineStr">
        <is>
          <t>N</t>
        </is>
      </c>
      <c r="H331" t="inlineStr"/>
      <c r="I331" t="inlineStr">
        <is>
          <t>none</t>
        </is>
      </c>
      <c r="J331" t="inlineStr">
        <is>
          <t>candidate</t>
        </is>
      </c>
      <c r="K331" t="inlineStr">
        <is>
          <t>Medium</t>
        </is>
      </c>
      <c r="L331" t="inlineStr">
        <is>
          <t>dlp/2026/pixar-cars-wall-e-june/wall-e-and-eve</t>
        </is>
      </c>
    </row>
    <row r="332">
      <c r="A332" t="inlineStr">
        <is>
          <t>PHS-0135</t>
        </is>
      </c>
      <c r="B332" t="n">
        <v>1</v>
      </c>
      <c r="C332" t="inlineStr">
        <is>
          <t>Forky</t>
        </is>
      </c>
      <c r="D332" t="inlineStr">
        <is>
          <t>Forky – Toy Story 5 open edition pins</t>
        </is>
      </c>
      <c r="E332" t="inlineStr"/>
      <c r="F332" t="inlineStr"/>
      <c r="G332" t="inlineStr">
        <is>
          <t>N</t>
        </is>
      </c>
      <c r="H332" t="inlineStr"/>
      <c r="I332" t="inlineStr">
        <is>
          <t>none</t>
        </is>
      </c>
      <c r="J332" t="inlineStr">
        <is>
          <t>candidate</t>
        </is>
      </c>
      <c r="K332" t="inlineStr">
        <is>
          <t>Medium</t>
        </is>
      </c>
      <c r="L332" t="inlineStr">
        <is>
          <t>dlp/2026/toy-story-5-open-edition/forky</t>
        </is>
      </c>
    </row>
    <row r="333">
      <c r="A333" t="inlineStr">
        <is>
          <t>PHS-0135</t>
        </is>
      </c>
      <c r="B333" t="n">
        <v>2</v>
      </c>
      <c r="C333" t="inlineStr">
        <is>
          <t>Jessie</t>
        </is>
      </c>
      <c r="D333" t="inlineStr">
        <is>
          <t>Jessie – Toy Story 5 open edition pins</t>
        </is>
      </c>
      <c r="E333" t="inlineStr"/>
      <c r="F333" t="inlineStr"/>
      <c r="G333" t="inlineStr">
        <is>
          <t>N</t>
        </is>
      </c>
      <c r="H333" t="inlineStr"/>
      <c r="I333" t="inlineStr">
        <is>
          <t>none</t>
        </is>
      </c>
      <c r="J333" t="inlineStr">
        <is>
          <t>candidate</t>
        </is>
      </c>
      <c r="K333" t="inlineStr">
        <is>
          <t>Medium</t>
        </is>
      </c>
      <c r="L333" t="inlineStr">
        <is>
          <t>dlp/2026/toy-story-5-open-edition/jessie</t>
        </is>
      </c>
    </row>
    <row r="334">
      <c r="A334" t="inlineStr">
        <is>
          <t>PHS-0135</t>
        </is>
      </c>
      <c r="B334" t="n">
        <v>3</v>
      </c>
      <c r="C334" t="inlineStr">
        <is>
          <t>Karen; Karen Beverly</t>
        </is>
      </c>
      <c r="D334" t="inlineStr">
        <is>
          <t>Karen &amp; Karen Beverly – Toy Story 5 open edition pins</t>
        </is>
      </c>
      <c r="E334" t="inlineStr"/>
      <c r="F334" t="inlineStr"/>
      <c r="G334" t="inlineStr">
        <is>
          <t>N</t>
        </is>
      </c>
      <c r="H334" t="inlineStr"/>
      <c r="I334" t="inlineStr">
        <is>
          <t>none</t>
        </is>
      </c>
      <c r="J334" t="inlineStr">
        <is>
          <t>candidate</t>
        </is>
      </c>
      <c r="K334" t="inlineStr">
        <is>
          <t>Medium</t>
        </is>
      </c>
      <c r="L334" t="inlineStr">
        <is>
          <t>dlp/2026/toy-story-5-open-edition/karen</t>
        </is>
      </c>
    </row>
    <row r="335">
      <c r="A335" t="inlineStr">
        <is>
          <t>PHS-0135</t>
        </is>
      </c>
      <c r="B335" t="n">
        <v>4</v>
      </c>
      <c r="C335" t="inlineStr">
        <is>
          <t>Forky; Karen Beverly</t>
        </is>
      </c>
      <c r="D335" t="inlineStr">
        <is>
          <t>Forky &amp; Karen Beverly – Toy Story 5 open edition pins</t>
        </is>
      </c>
      <c r="E335" t="inlineStr"/>
      <c r="F335" t="inlineStr"/>
      <c r="G335" t="inlineStr">
        <is>
          <t>N</t>
        </is>
      </c>
      <c r="H335" t="inlineStr"/>
      <c r="I335" t="inlineStr">
        <is>
          <t>none</t>
        </is>
      </c>
      <c r="J335" t="inlineStr">
        <is>
          <t>candidate</t>
        </is>
      </c>
      <c r="K335" t="inlineStr">
        <is>
          <t>Low</t>
        </is>
      </c>
      <c r="L335" t="inlineStr">
        <is>
          <t>dlp/2026/toy-story-5-open-edition/karen-and-forky</t>
        </is>
      </c>
    </row>
    <row r="336">
      <c r="A336" t="inlineStr">
        <is>
          <t>PHS-0135</t>
        </is>
      </c>
      <c r="B336" t="n">
        <v>5</v>
      </c>
      <c r="C336" t="inlineStr">
        <is>
          <t>Lilypad</t>
        </is>
      </c>
      <c r="D336" t="inlineStr">
        <is>
          <t>Lilypad – Toy Story 5 open edition pins</t>
        </is>
      </c>
      <c r="E336" t="inlineStr"/>
      <c r="F336" t="inlineStr"/>
      <c r="G336" t="inlineStr">
        <is>
          <t>N</t>
        </is>
      </c>
      <c r="H336" t="inlineStr"/>
      <c r="I336" t="inlineStr">
        <is>
          <t>none</t>
        </is>
      </c>
      <c r="J336" t="inlineStr">
        <is>
          <t>candidate</t>
        </is>
      </c>
      <c r="K336" t="inlineStr">
        <is>
          <t>Medium</t>
        </is>
      </c>
      <c r="L336" t="inlineStr">
        <is>
          <t>dlp/2026/toy-story-5-open-edition/lilypad</t>
        </is>
      </c>
    </row>
    <row r="337">
      <c r="A337" t="inlineStr">
        <is>
          <t>PHS-0136</t>
        </is>
      </c>
      <c r="B337" t="n">
        <v>1</v>
      </c>
      <c r="C337" t="inlineStr">
        <is>
          <t>Kida</t>
        </is>
      </c>
      <c r="D337" t="inlineStr">
        <is>
          <t>Kida – Atlantis open edition pins</t>
        </is>
      </c>
      <c r="E337" t="inlineStr"/>
      <c r="F337" t="inlineStr"/>
      <c r="G337" t="inlineStr">
        <is>
          <t>N</t>
        </is>
      </c>
      <c r="H337" t="inlineStr"/>
      <c r="I337" t="inlineStr">
        <is>
          <t>none</t>
        </is>
      </c>
      <c r="J337" t="inlineStr">
        <is>
          <t>candidate</t>
        </is>
      </c>
      <c r="K337" t="inlineStr">
        <is>
          <t>Medium</t>
        </is>
      </c>
      <c r="L337" t="inlineStr">
        <is>
          <t>dlp/2026/atlantis-open-edition/kida</t>
        </is>
      </c>
    </row>
    <row r="338">
      <c r="A338" t="inlineStr">
        <is>
          <t>PHS-0136</t>
        </is>
      </c>
      <c r="B338" t="n">
        <v>2</v>
      </c>
      <c r="C338" t="inlineStr">
        <is>
          <t>Milo</t>
        </is>
      </c>
      <c r="D338" t="inlineStr">
        <is>
          <t>Milo – Atlantis open edition pins</t>
        </is>
      </c>
      <c r="E338" t="inlineStr"/>
      <c r="F338" t="inlineStr"/>
      <c r="G338" t="inlineStr">
        <is>
          <t>N</t>
        </is>
      </c>
      <c r="H338" t="inlineStr"/>
      <c r="I338" t="inlineStr">
        <is>
          <t>none</t>
        </is>
      </c>
      <c r="J338" t="inlineStr">
        <is>
          <t>candidate</t>
        </is>
      </c>
      <c r="K338" t="inlineStr">
        <is>
          <t>Medium</t>
        </is>
      </c>
      <c r="L338" t="inlineStr">
        <is>
          <t>dlp/2026/atlantis-open-edition/milo</t>
        </is>
      </c>
    </row>
    <row r="339">
      <c r="A339" t="inlineStr">
        <is>
          <t>PHS-0137</t>
        </is>
      </c>
      <c r="B339" t="n">
        <v>1</v>
      </c>
      <c r="C339" t="inlineStr">
        <is>
          <t>Mulan</t>
        </is>
      </c>
      <c r="D339" t="inlineStr">
        <is>
          <t>Mulan – Happy Father's Day</t>
        </is>
      </c>
      <c r="E339" t="inlineStr"/>
      <c r="F339" t="inlineStr"/>
      <c r="G339" t="inlineStr">
        <is>
          <t>N</t>
        </is>
      </c>
      <c r="H339" t="inlineStr"/>
      <c r="I339" t="inlineStr">
        <is>
          <t>none</t>
        </is>
      </c>
      <c r="J339" t="inlineStr">
        <is>
          <t>candidate</t>
        </is>
      </c>
      <c r="K339" t="inlineStr">
        <is>
          <t>Low</t>
        </is>
      </c>
      <c r="L339" t="inlineStr">
        <is>
          <t>dlp/2026/fathers-day-2026/mulan</t>
        </is>
      </c>
    </row>
    <row r="340">
      <c r="A340" t="inlineStr">
        <is>
          <t>PHS-0138</t>
        </is>
      </c>
      <c r="B340" t="n">
        <v>1</v>
      </c>
      <c r="C340" t="inlineStr">
        <is>
          <t>Nick Wilde</t>
        </is>
      </c>
      <c r="D340" t="inlineStr">
        <is>
          <t>Nick Wilde – Nick Summer 2026</t>
        </is>
      </c>
      <c r="E340" t="inlineStr"/>
      <c r="F340" t="inlineStr"/>
      <c r="G340" t="inlineStr">
        <is>
          <t>N</t>
        </is>
      </c>
      <c r="H340" t="inlineStr"/>
      <c r="I340" t="inlineStr">
        <is>
          <t>none</t>
        </is>
      </c>
      <c r="J340" t="inlineStr">
        <is>
          <t>candidate</t>
        </is>
      </c>
      <c r="K340" t="inlineStr">
        <is>
          <t>Medium</t>
        </is>
      </c>
      <c r="L340" t="inlineStr">
        <is>
          <t>dlp/2026/nick-summer-2026/nick-wilde</t>
        </is>
      </c>
    </row>
    <row r="341">
      <c r="A341" t="inlineStr">
        <is>
          <t>PHS-0139</t>
        </is>
      </c>
      <c r="B341" t="n">
        <v>1</v>
      </c>
      <c r="C341" t="inlineStr">
        <is>
          <t>Rapunzel</t>
        </is>
      </c>
      <c r="D341" t="inlineStr">
        <is>
          <t>Rapunzel – Rapunzel Studio Princess Series</t>
        </is>
      </c>
      <c r="E341" t="inlineStr"/>
      <c r="F341" t="inlineStr"/>
      <c r="G341" t="inlineStr">
        <is>
          <t>N</t>
        </is>
      </c>
      <c r="H341" t="inlineStr"/>
      <c r="I341" t="inlineStr">
        <is>
          <t>none</t>
        </is>
      </c>
      <c r="J341" t="inlineStr">
        <is>
          <t>candidate</t>
        </is>
      </c>
      <c r="K341" t="inlineStr">
        <is>
          <t>Medium</t>
        </is>
      </c>
      <c r="L341" t="inlineStr">
        <is>
          <t>dlp/2026/princess-studio-rapunzel/rapunzel</t>
        </is>
      </c>
    </row>
    <row r="342">
      <c r="A342" t="inlineStr">
        <is>
          <t>PHS-0140</t>
        </is>
      </c>
      <c r="B342" t="n">
        <v>1</v>
      </c>
      <c r="C342" t="inlineStr">
        <is>
          <t>Lilo; Stitch</t>
        </is>
      </c>
      <c r="D342" t="inlineStr">
        <is>
          <t>Lilo &amp; Stitch – Lilo &amp; Stitch Waves Series</t>
        </is>
      </c>
      <c r="E342" t="inlineStr"/>
      <c r="F342" t="n">
        <v>800</v>
      </c>
      <c r="G342" t="inlineStr">
        <is>
          <t>N</t>
        </is>
      </c>
      <c r="H342" t="inlineStr"/>
      <c r="I342" t="inlineStr">
        <is>
          <t>none</t>
        </is>
      </c>
      <c r="J342" t="inlineStr">
        <is>
          <t>candidate</t>
        </is>
      </c>
      <c r="K342" t="inlineStr">
        <is>
          <t>Medium</t>
        </is>
      </c>
      <c r="L342" t="inlineStr">
        <is>
          <t>dlp/2026/waves-series-lilo-stitch/lilo-and-stitch</t>
        </is>
      </c>
    </row>
    <row r="343">
      <c r="A343" t="inlineStr">
        <is>
          <t>PHS-0141</t>
        </is>
      </c>
      <c r="B343" t="n">
        <v>1</v>
      </c>
      <c r="C343" t="inlineStr">
        <is>
          <t>Lilo; Stitch</t>
        </is>
      </c>
      <c r="D343" t="inlineStr">
        <is>
          <t>Lilo &amp; Stitch – Disney Tales of Magic: Lilo &amp; Stitch</t>
        </is>
      </c>
      <c r="E343" t="inlineStr"/>
      <c r="F343" t="n">
        <v>800</v>
      </c>
      <c r="G343" t="inlineStr">
        <is>
          <t>N</t>
        </is>
      </c>
      <c r="H343" t="inlineStr"/>
      <c r="I343" t="inlineStr">
        <is>
          <t>none</t>
        </is>
      </c>
      <c r="J343" t="inlineStr">
        <is>
          <t>candidate</t>
        </is>
      </c>
      <c r="K343" t="inlineStr">
        <is>
          <t>Medium</t>
        </is>
      </c>
      <c r="L343" t="inlineStr">
        <is>
          <t>dlp/2026/tales-of-magic-lilo-stitch/lilo-and-stitch</t>
        </is>
      </c>
    </row>
    <row r="344">
      <c r="A344" t="inlineStr">
        <is>
          <t>PHS-0142</t>
        </is>
      </c>
      <c r="B344" t="n">
        <v>1</v>
      </c>
      <c r="C344" t="inlineStr">
        <is>
          <t>Alice; Cheshire Cat</t>
        </is>
      </c>
      <c r="D344" t="inlineStr">
        <is>
          <t>Alice &amp; Cheshire Cat – Alice in Wonderland 75th Anniversary Keyhole</t>
        </is>
      </c>
      <c r="E344" t="inlineStr"/>
      <c r="F344" t="n">
        <v>800</v>
      </c>
      <c r="G344" t="inlineStr">
        <is>
          <t>N</t>
        </is>
      </c>
      <c r="H344" t="inlineStr"/>
      <c r="I344" t="inlineStr">
        <is>
          <t>none</t>
        </is>
      </c>
      <c r="J344" t="inlineStr">
        <is>
          <t>candidate</t>
        </is>
      </c>
      <c r="K344" t="inlineStr">
        <is>
          <t>Low</t>
        </is>
      </c>
      <c r="L344" t="inlineStr">
        <is>
          <t>dlp/2026/alice-75th-anniversary-keyhole/alice-and-cheshire-cat</t>
        </is>
      </c>
    </row>
    <row r="345">
      <c r="A345" t="inlineStr">
        <is>
          <t>PHS-0143</t>
        </is>
      </c>
      <c r="B345" t="n">
        <v>1</v>
      </c>
      <c r="C345" t="inlineStr">
        <is>
          <t>Alice; Dinah</t>
        </is>
      </c>
      <c r="D345" t="inlineStr">
        <is>
          <t>Alice &amp; Dinah</t>
        </is>
      </c>
      <c r="E345" t="inlineStr"/>
      <c r="F345" t="inlineStr"/>
      <c r="G345" t="inlineStr">
        <is>
          <t>N</t>
        </is>
      </c>
      <c r="H345" t="inlineStr"/>
      <c r="I345" t="inlineStr">
        <is>
          <t>none</t>
        </is>
      </c>
      <c r="J345" t="inlineStr">
        <is>
          <t>candidate</t>
        </is>
      </c>
      <c r="K345" t="inlineStr">
        <is>
          <t>Medium</t>
        </is>
      </c>
      <c r="L345" t="inlineStr">
        <is>
          <t>dlp/2026/alice-open-edition-july/alice</t>
        </is>
      </c>
    </row>
    <row r="346">
      <c r="A346" t="inlineStr">
        <is>
          <t>PHS-0143</t>
        </is>
      </c>
      <c r="B346" t="n">
        <v>2</v>
      </c>
      <c r="C346" t="inlineStr">
        <is>
          <t>Dinah</t>
        </is>
      </c>
      <c r="D346" t="inlineStr">
        <is>
          <t>Dinah (Face)</t>
        </is>
      </c>
      <c r="E346" t="inlineStr"/>
      <c r="F346" t="inlineStr"/>
      <c r="G346" t="inlineStr">
        <is>
          <t>N</t>
        </is>
      </c>
      <c r="H346" t="inlineStr"/>
      <c r="I346" t="inlineStr">
        <is>
          <t>none</t>
        </is>
      </c>
      <c r="J346" t="inlineStr">
        <is>
          <t>candidate</t>
        </is>
      </c>
      <c r="K346" t="inlineStr">
        <is>
          <t>Medium</t>
        </is>
      </c>
      <c r="L346" t="inlineStr">
        <is>
          <t>dlp/2026/alice-open-edition-july/dinah</t>
        </is>
      </c>
    </row>
    <row r="347">
      <c r="A347" t="inlineStr">
        <is>
          <t>PHS-0143</t>
        </is>
      </c>
      <c r="B347" t="n">
        <v>3</v>
      </c>
      <c r="C347" t="inlineStr">
        <is>
          <t>Mad Hatter</t>
        </is>
      </c>
      <c r="D347" t="inlineStr">
        <is>
          <t>Mad Hatter – Alice in Wonderland open edition pins</t>
        </is>
      </c>
      <c r="E347" t="inlineStr"/>
      <c r="F347" t="inlineStr"/>
      <c r="G347" t="inlineStr">
        <is>
          <t>N</t>
        </is>
      </c>
      <c r="H347" t="inlineStr"/>
      <c r="I347" t="inlineStr">
        <is>
          <t>none</t>
        </is>
      </c>
      <c r="J347" t="inlineStr">
        <is>
          <t>candidate</t>
        </is>
      </c>
      <c r="K347" t="inlineStr">
        <is>
          <t>Medium</t>
        </is>
      </c>
      <c r="L347" t="inlineStr">
        <is>
          <t>dlp/2026/alice-open-edition-july/mad-hatter</t>
        </is>
      </c>
    </row>
    <row r="348">
      <c r="A348" t="inlineStr">
        <is>
          <t>PHS-0143</t>
        </is>
      </c>
      <c r="B348" t="n">
        <v>4</v>
      </c>
      <c r="C348" t="inlineStr">
        <is>
          <t>Queen of Hearts</t>
        </is>
      </c>
      <c r="D348" t="inlineStr">
        <is>
          <t>Queen of Hearts – Alice in Wonderland open edition pins</t>
        </is>
      </c>
      <c r="E348" t="inlineStr"/>
      <c r="F348" t="inlineStr"/>
      <c r="G348" t="inlineStr">
        <is>
          <t>N</t>
        </is>
      </c>
      <c r="H348" t="inlineStr"/>
      <c r="I348" t="inlineStr">
        <is>
          <t>none</t>
        </is>
      </c>
      <c r="J348" t="inlineStr">
        <is>
          <t>candidate</t>
        </is>
      </c>
      <c r="K348" t="inlineStr">
        <is>
          <t>Low</t>
        </is>
      </c>
      <c r="L348" t="inlineStr">
        <is>
          <t>dlp/2026/alice-open-edition-july/queen-of-hearts</t>
        </is>
      </c>
    </row>
    <row r="349">
      <c r="A349" t="inlineStr">
        <is>
          <t>PHS-0143</t>
        </is>
      </c>
      <c r="B349" t="n">
        <v>5</v>
      </c>
      <c r="C349" t="inlineStr">
        <is>
          <t>Tweedle Dee; Tweedle Dum</t>
        </is>
      </c>
      <c r="D349" t="inlineStr">
        <is>
          <t>Tweedle Dee &amp; Tweedle Dum – Alice in Wonderland open edition pins</t>
        </is>
      </c>
      <c r="E349" t="inlineStr"/>
      <c r="F349" t="inlineStr"/>
      <c r="G349" t="inlineStr">
        <is>
          <t>N</t>
        </is>
      </c>
      <c r="H349" t="inlineStr"/>
      <c r="I349" t="inlineStr">
        <is>
          <t>none</t>
        </is>
      </c>
      <c r="J349" t="inlineStr">
        <is>
          <t>candidate</t>
        </is>
      </c>
      <c r="K349" t="inlineStr">
        <is>
          <t>Low</t>
        </is>
      </c>
      <c r="L349" t="inlineStr">
        <is>
          <t>dlp/2026/alice-open-edition-july/tweedle-dee-and-tweedle-dum</t>
        </is>
      </c>
    </row>
    <row r="350">
      <c r="A350" t="inlineStr">
        <is>
          <t>PHS-0144</t>
        </is>
      </c>
      <c r="B350" t="n">
        <v>1</v>
      </c>
      <c r="C350" t="inlineStr">
        <is>
          <t>Cinderella</t>
        </is>
      </c>
      <c r="D350" t="inlineStr">
        <is>
          <t>Cinderella – Cinderella (Princess Studio Series)</t>
        </is>
      </c>
      <c r="E350" t="inlineStr"/>
      <c r="F350" t="inlineStr"/>
      <c r="G350" t="inlineStr">
        <is>
          <t>N</t>
        </is>
      </c>
      <c r="H350" t="inlineStr"/>
      <c r="I350" t="inlineStr">
        <is>
          <t>none</t>
        </is>
      </c>
      <c r="J350" t="inlineStr">
        <is>
          <t>candidate</t>
        </is>
      </c>
      <c r="K350" t="inlineStr">
        <is>
          <t>Medium</t>
        </is>
      </c>
      <c r="L350" t="inlineStr">
        <is>
          <t>dlp/2026/cinderella-july-le/cinderella</t>
        </is>
      </c>
    </row>
    <row r="351">
      <c r="A351" t="inlineStr">
        <is>
          <t>PHS-0145</t>
        </is>
      </c>
      <c r="B351" t="n">
        <v>1</v>
      </c>
      <c r="C351" t="inlineStr">
        <is>
          <t>Angel</t>
        </is>
      </c>
      <c r="D351" t="inlineStr">
        <is>
          <t>Angel – Stitch, Angel, Scrump open edition</t>
        </is>
      </c>
      <c r="E351" t="inlineStr"/>
      <c r="F351" t="inlineStr"/>
      <c r="G351" t="inlineStr">
        <is>
          <t>N</t>
        </is>
      </c>
      <c r="H351" t="inlineStr"/>
      <c r="I351" t="inlineStr">
        <is>
          <t>none</t>
        </is>
      </c>
      <c r="J351" t="inlineStr">
        <is>
          <t>candidate</t>
        </is>
      </c>
      <c r="K351" t="inlineStr">
        <is>
          <t>Medium</t>
        </is>
      </c>
      <c r="L351" t="inlineStr">
        <is>
          <t>dlp/2026/stitch-angel-scrump-open-edition/angel</t>
        </is>
      </c>
    </row>
    <row r="352">
      <c r="A352" t="inlineStr">
        <is>
          <t>PHS-0145</t>
        </is>
      </c>
      <c r="B352" t="n">
        <v>2</v>
      </c>
      <c r="C352" t="inlineStr">
        <is>
          <t>Scrump</t>
        </is>
      </c>
      <c r="D352" t="inlineStr">
        <is>
          <t>Scrump – Stitch, Angel, Scrump open edition</t>
        </is>
      </c>
      <c r="E352" t="inlineStr"/>
      <c r="F352" t="inlineStr"/>
      <c r="G352" t="inlineStr">
        <is>
          <t>N</t>
        </is>
      </c>
      <c r="H352" t="inlineStr"/>
      <c r="I352" t="inlineStr">
        <is>
          <t>none</t>
        </is>
      </c>
      <c r="J352" t="inlineStr">
        <is>
          <t>candidate</t>
        </is>
      </c>
      <c r="K352" t="inlineStr">
        <is>
          <t>Low</t>
        </is>
      </c>
      <c r="L352" t="inlineStr">
        <is>
          <t>dlp/2026/stitch-angel-scrump-open-edition/scrump</t>
        </is>
      </c>
    </row>
    <row r="353">
      <c r="A353" t="inlineStr">
        <is>
          <t>PHS-0145</t>
        </is>
      </c>
      <c r="B353" t="n">
        <v>3</v>
      </c>
      <c r="C353" t="inlineStr">
        <is>
          <t>Stitch</t>
        </is>
      </c>
      <c r="D353" t="inlineStr">
        <is>
          <t>Stitch – Stitch, Angel, Scrump open edition</t>
        </is>
      </c>
      <c r="E353" t="inlineStr"/>
      <c r="F353" t="inlineStr"/>
      <c r="G353" t="inlineStr">
        <is>
          <t>N</t>
        </is>
      </c>
      <c r="H353" t="inlineStr"/>
      <c r="I353" t="inlineStr">
        <is>
          <t>none</t>
        </is>
      </c>
      <c r="J353" t="inlineStr">
        <is>
          <t>candidate</t>
        </is>
      </c>
      <c r="K353" t="inlineStr">
        <is>
          <t>Medium</t>
        </is>
      </c>
      <c r="L353" t="inlineStr">
        <is>
          <t>dlp/2026/stitch-angel-scrump-open-edition/stitch</t>
        </is>
      </c>
    </row>
    <row r="354">
      <c r="A354" t="inlineStr">
        <is>
          <t>PHS-0146</t>
        </is>
      </c>
      <c r="B354" t="n">
        <v>1</v>
      </c>
      <c r="C354" t="inlineStr">
        <is>
          <t>Beast; Belle</t>
        </is>
      </c>
      <c r="D354" t="inlineStr">
        <is>
          <t>Disney Tales of Magic - Beauty and the Beast</t>
        </is>
      </c>
      <c r="E354" t="inlineStr"/>
      <c r="F354" t="inlineStr"/>
      <c r="G354" t="inlineStr">
        <is>
          <t>N</t>
        </is>
      </c>
      <c r="H354" t="inlineStr"/>
      <c r="I354" t="inlineStr">
        <is>
          <t>none</t>
        </is>
      </c>
      <c r="J354" t="inlineStr">
        <is>
          <t>candidate</t>
        </is>
      </c>
      <c r="K354" t="inlineStr">
        <is>
          <t>Medium</t>
        </is>
      </c>
      <c r="L354" t="inlineStr">
        <is>
          <t>dlp/2026/tales-of-magic-beauty-and-the-beast/belle-and-beast</t>
        </is>
      </c>
    </row>
    <row r="355">
      <c r="A355" t="inlineStr">
        <is>
          <t>PHS-0147</t>
        </is>
      </c>
      <c r="B355" t="n">
        <v>1</v>
      </c>
      <c r="C355" t="inlineStr">
        <is>
          <t>Remy</t>
        </is>
      </c>
      <c r="D355" t="inlineStr">
        <is>
          <t>Remy – Bastille Day 2026</t>
        </is>
      </c>
      <c r="E355" t="inlineStr"/>
      <c r="F355" t="inlineStr"/>
      <c r="G355" t="inlineStr">
        <is>
          <t>N</t>
        </is>
      </c>
      <c r="H355" t="inlineStr"/>
      <c r="I355" t="inlineStr">
        <is>
          <t>none</t>
        </is>
      </c>
      <c r="J355" t="inlineStr">
        <is>
          <t>candidate</t>
        </is>
      </c>
      <c r="K355" t="inlineStr">
        <is>
          <t>Medium</t>
        </is>
      </c>
      <c r="L355" t="inlineStr">
        <is>
          <t>dlp/2026/bastille-day-2026/remy</t>
        </is>
      </c>
    </row>
    <row r="356">
      <c r="A356" t="inlineStr">
        <is>
          <t>PHS-0148</t>
        </is>
      </c>
      <c r="B356" t="n">
        <v>1</v>
      </c>
      <c r="C356" t="inlineStr">
        <is>
          <t>Goofy; Minnie Mouse</t>
        </is>
      </c>
      <c r="D356" t="inlineStr">
        <is>
          <t>Phantom Manor – Attraction open edition pins</t>
        </is>
      </c>
      <c r="E356" t="inlineStr"/>
      <c r="F356" t="inlineStr"/>
      <c r="G356" t="inlineStr">
        <is>
          <t>possible</t>
        </is>
      </c>
      <c r="H356" t="inlineStr">
        <is>
          <t>PHUK-00000073</t>
        </is>
      </c>
      <c r="I356" t="inlineStr">
        <is>
          <t>none</t>
        </is>
      </c>
      <c r="J356" t="inlineStr">
        <is>
          <t>candidate</t>
        </is>
      </c>
      <c r="K356" t="inlineStr">
        <is>
          <t>Medium</t>
        </is>
      </c>
      <c r="L356" t="inlineStr">
        <is>
          <t>dlp/2026/attraction-open-edition-july/phantom-manor-minnie-goofy</t>
        </is>
      </c>
    </row>
    <row r="357">
      <c r="A357" t="inlineStr">
        <is>
          <t>PHS-0148</t>
        </is>
      </c>
      <c r="B357" t="n">
        <v>2</v>
      </c>
      <c r="C357" t="inlineStr">
        <is>
          <t>Mickey Mouse</t>
        </is>
      </c>
      <c r="D357" t="inlineStr">
        <is>
          <t>Mickey Mouse – Attraction open edition pins</t>
        </is>
      </c>
      <c r="E357" t="inlineStr"/>
      <c r="F357" t="inlineStr"/>
      <c r="G357" t="inlineStr">
        <is>
          <t>possible</t>
        </is>
      </c>
      <c r="H357" t="inlineStr">
        <is>
          <t>PHUK-00000072</t>
        </is>
      </c>
      <c r="I357" t="inlineStr">
        <is>
          <t>none</t>
        </is>
      </c>
      <c r="J357" t="inlineStr">
        <is>
          <t>candidate</t>
        </is>
      </c>
      <c r="K357" t="inlineStr">
        <is>
          <t>Medium</t>
        </is>
      </c>
      <c r="L357" t="inlineStr">
        <is>
          <t>dlp/2026/attraction-open-edition-july/pirates-of-the-caribbean-mickey</t>
        </is>
      </c>
    </row>
    <row r="358">
      <c r="A358" t="inlineStr">
        <is>
          <t>PHS-0149</t>
        </is>
      </c>
      <c r="B358" t="n">
        <v>1</v>
      </c>
      <c r="C358" t="inlineStr">
        <is>
          <t>Moana</t>
        </is>
      </c>
      <c r="D358" t="inlineStr">
        <is>
          <t>Moana – Vaiana (Moana) Waves Series</t>
        </is>
      </c>
      <c r="E358" t="inlineStr"/>
      <c r="F358" t="inlineStr"/>
      <c r="G358" t="inlineStr">
        <is>
          <t>N</t>
        </is>
      </c>
      <c r="H358" t="inlineStr"/>
      <c r="I358" t="inlineStr">
        <is>
          <t>none</t>
        </is>
      </c>
      <c r="J358" t="inlineStr">
        <is>
          <t>candidate</t>
        </is>
      </c>
      <c r="K358" t="inlineStr">
        <is>
          <t>Medium</t>
        </is>
      </c>
      <c r="L358" t="inlineStr">
        <is>
          <t>dlp/2026/waves-series-vaiana/moana</t>
        </is>
      </c>
    </row>
    <row r="359">
      <c r="A359" t="inlineStr">
        <is>
          <t>PHS-0150</t>
        </is>
      </c>
      <c r="B359" t="n">
        <v>1</v>
      </c>
      <c r="C359" t="inlineStr">
        <is>
          <t>Djali; Esmeralda; Judge Frollo; Quasimodo</t>
        </is>
      </c>
      <c r="D359" t="inlineStr">
        <is>
          <t>Djali &amp; Esmeralda &amp; Judge Frollo &amp; Quasimodo – The Hunchback of Notre Dame 30th Anniversary Jumbo Pin</t>
        </is>
      </c>
      <c r="E359" t="inlineStr"/>
      <c r="F359" t="n">
        <v>300</v>
      </c>
      <c r="G359" t="inlineStr">
        <is>
          <t>N</t>
        </is>
      </c>
      <c r="H359" t="inlineStr"/>
      <c r="I359" t="inlineStr">
        <is>
          <t>none</t>
        </is>
      </c>
      <c r="J359" t="inlineStr">
        <is>
          <t>candidate</t>
        </is>
      </c>
      <c r="K359" t="inlineStr">
        <is>
          <t>Medium</t>
        </is>
      </c>
      <c r="L359" t="inlineStr">
        <is>
          <t>dlp/2026/hunchback-30th-anniversary-jumbo/notre-dame-30th-jumbo</t>
        </is>
      </c>
    </row>
    <row r="360">
      <c r="A360" t="inlineStr">
        <is>
          <t>PHS-0151</t>
        </is>
      </c>
      <c r="B360" t="n">
        <v>1</v>
      </c>
      <c r="C360" t="inlineStr">
        <is>
          <t>Chip; Dale</t>
        </is>
      </c>
      <c r="D360" t="inlineStr">
        <is>
          <t>Chip &amp; Dale – Fruits collection</t>
        </is>
      </c>
      <c r="E360" t="inlineStr"/>
      <c r="F360" t="inlineStr"/>
      <c r="G360" t="inlineStr">
        <is>
          <t>N</t>
        </is>
      </c>
      <c r="H360" t="inlineStr"/>
      <c r="I360" t="inlineStr">
        <is>
          <t>none</t>
        </is>
      </c>
      <c r="J360" t="inlineStr">
        <is>
          <t>candidate</t>
        </is>
      </c>
      <c r="K360" t="inlineStr">
        <is>
          <t>Low</t>
        </is>
      </c>
      <c r="L360" t="inlineStr">
        <is>
          <t>dlp/2026/fruits-collection/chip-and-dale</t>
        </is>
      </c>
    </row>
    <row r="361">
      <c r="A361" t="inlineStr">
        <is>
          <t>PHS-0151</t>
        </is>
      </c>
      <c r="B361" t="n">
        <v>2</v>
      </c>
      <c r="C361" t="inlineStr">
        <is>
          <t>Donald Duck</t>
        </is>
      </c>
      <c r="D361" t="inlineStr">
        <is>
          <t>Donald Duck – Fruits collection</t>
        </is>
      </c>
      <c r="E361" t="inlineStr"/>
      <c r="F361" t="inlineStr"/>
      <c r="G361" t="inlineStr">
        <is>
          <t>N</t>
        </is>
      </c>
      <c r="H361" t="inlineStr"/>
      <c r="I361" t="inlineStr">
        <is>
          <t>none</t>
        </is>
      </c>
      <c r="J361" t="inlineStr">
        <is>
          <t>candidate</t>
        </is>
      </c>
      <c r="K361" t="inlineStr">
        <is>
          <t>Medium</t>
        </is>
      </c>
      <c r="L361" t="inlineStr">
        <is>
          <t>dlp/2026/fruits-collection/donald</t>
        </is>
      </c>
    </row>
    <row r="362">
      <c r="A362" t="inlineStr">
        <is>
          <t>PHS-0151</t>
        </is>
      </c>
      <c r="B362" t="n">
        <v>3</v>
      </c>
      <c r="C362" t="inlineStr">
        <is>
          <t>Figaro</t>
        </is>
      </c>
      <c r="D362" t="inlineStr">
        <is>
          <t>Figaro – Fruits collection</t>
        </is>
      </c>
      <c r="E362" t="inlineStr"/>
      <c r="F362" t="inlineStr"/>
      <c r="G362" t="inlineStr">
        <is>
          <t>N</t>
        </is>
      </c>
      <c r="H362" t="inlineStr"/>
      <c r="I362" t="inlineStr">
        <is>
          <t>none</t>
        </is>
      </c>
      <c r="J362" t="inlineStr">
        <is>
          <t>candidate</t>
        </is>
      </c>
      <c r="K362" t="inlineStr">
        <is>
          <t>Medium</t>
        </is>
      </c>
      <c r="L362" t="inlineStr">
        <is>
          <t>dlp/2026/fruits-collection/figaro</t>
        </is>
      </c>
    </row>
    <row r="363">
      <c r="A363" t="inlineStr">
        <is>
          <t>PHS-0151</t>
        </is>
      </c>
      <c r="B363" t="n">
        <v>4</v>
      </c>
      <c r="C363" t="inlineStr">
        <is>
          <t>Pascal</t>
        </is>
      </c>
      <c r="D363" t="inlineStr">
        <is>
          <t>Pascal – Fruits collection</t>
        </is>
      </c>
      <c r="E363" t="inlineStr"/>
      <c r="F363" t="inlineStr"/>
      <c r="G363" t="inlineStr">
        <is>
          <t>N</t>
        </is>
      </c>
      <c r="H363" t="inlineStr"/>
      <c r="I363" t="inlineStr">
        <is>
          <t>none</t>
        </is>
      </c>
      <c r="J363" t="inlineStr">
        <is>
          <t>candidate</t>
        </is>
      </c>
      <c r="K363" t="inlineStr">
        <is>
          <t>Medium</t>
        </is>
      </c>
      <c r="L363" t="inlineStr">
        <is>
          <t>dlp/2026/fruits-collection/pascal</t>
        </is>
      </c>
    </row>
    <row r="364">
      <c r="A364" t="inlineStr">
        <is>
          <t>PHS-0151</t>
        </is>
      </c>
      <c r="B364" t="n">
        <v>5</v>
      </c>
      <c r="C364" t="inlineStr">
        <is>
          <t>Thumper</t>
        </is>
      </c>
      <c r="D364" t="inlineStr">
        <is>
          <t>Thumper – Fruits collection</t>
        </is>
      </c>
      <c r="E364" t="inlineStr"/>
      <c r="F364" t="inlineStr"/>
      <c r="G364" t="inlineStr">
        <is>
          <t>N</t>
        </is>
      </c>
      <c r="H364" t="inlineStr"/>
      <c r="I364" t="inlineStr">
        <is>
          <t>none</t>
        </is>
      </c>
      <c r="J364" t="inlineStr">
        <is>
          <t>candidate</t>
        </is>
      </c>
      <c r="K364" t="inlineStr">
        <is>
          <t>Low</t>
        </is>
      </c>
      <c r="L364" t="inlineStr">
        <is>
          <t>dlp/2026/fruits-collection/thumper</t>
        </is>
      </c>
    </row>
    <row r="365">
      <c r="A365" t="inlineStr">
        <is>
          <t>PHS-0152</t>
        </is>
      </c>
      <c r="B365" t="n">
        <v>1</v>
      </c>
      <c r="C365" t="inlineStr">
        <is>
          <t>Goofy; Max</t>
        </is>
      </c>
      <c r="D365" t="inlineStr">
        <is>
          <t>Goofy &amp; Max – Waves series - Goofy and Max</t>
        </is>
      </c>
      <c r="E365" t="inlineStr"/>
      <c r="F365" t="n">
        <v>800</v>
      </c>
      <c r="G365" t="inlineStr">
        <is>
          <t>N</t>
        </is>
      </c>
      <c r="H365" t="inlineStr"/>
      <c r="I365" t="inlineStr">
        <is>
          <t>none</t>
        </is>
      </c>
      <c r="J365" t="inlineStr">
        <is>
          <t>candidate</t>
        </is>
      </c>
      <c r="K365" t="inlineStr">
        <is>
          <t>Medium</t>
        </is>
      </c>
      <c r="L365" t="inlineStr">
        <is>
          <t>dlp/2026/waves-series-goofy-max/goofy-and-max</t>
        </is>
      </c>
    </row>
    <row r="366">
      <c r="A366" t="inlineStr">
        <is>
          <t>PHS-0153</t>
        </is>
      </c>
      <c r="B366" t="n">
        <v>1</v>
      </c>
      <c r="C366" t="inlineStr"/>
      <c r="D366" t="inlineStr">
        <is>
          <t>The Aristocats</t>
        </is>
      </c>
      <c r="E366" t="inlineStr"/>
      <c r="F366" t="inlineStr"/>
      <c r="G366" t="inlineStr">
        <is>
          <t>N</t>
        </is>
      </c>
      <c r="H366" t="inlineStr"/>
      <c r="I366" t="inlineStr">
        <is>
          <t>none</t>
        </is>
      </c>
      <c r="J366" t="inlineStr">
        <is>
          <t>candidate</t>
        </is>
      </c>
      <c r="K366" t="inlineStr">
        <is>
          <t>Medium</t>
        </is>
      </c>
      <c r="L366" t="inlineStr">
        <is>
          <t>dlp/2026/polaroid-style-collection/aristocats</t>
        </is>
      </c>
    </row>
    <row r="367">
      <c r="A367" t="inlineStr">
        <is>
          <t>PHS-0153</t>
        </is>
      </c>
      <c r="B367" t="n">
        <v>2</v>
      </c>
      <c r="C367" t="inlineStr"/>
      <c r="D367" t="inlineStr">
        <is>
          <t>Cinderella mice</t>
        </is>
      </c>
      <c r="E367" t="inlineStr"/>
      <c r="F367" t="inlineStr"/>
      <c r="G367" t="inlineStr">
        <is>
          <t>N</t>
        </is>
      </c>
      <c r="H367" t="inlineStr"/>
      <c r="I367" t="inlineStr">
        <is>
          <t>none</t>
        </is>
      </c>
      <c r="J367" t="inlineStr">
        <is>
          <t>candidate</t>
        </is>
      </c>
      <c r="K367" t="inlineStr">
        <is>
          <t>Low</t>
        </is>
      </c>
      <c r="L367" t="inlineStr">
        <is>
          <t>dlp/2026/polaroid-style-collection/cinderella-mice</t>
        </is>
      </c>
    </row>
    <row r="368">
      <c r="A368" t="inlineStr">
        <is>
          <t>PHS-0153</t>
        </is>
      </c>
      <c r="B368" t="n">
        <v>3</v>
      </c>
      <c r="C368" t="inlineStr"/>
      <c r="D368" t="inlineStr">
        <is>
          <t>Frozen characters</t>
        </is>
      </c>
      <c r="E368" t="inlineStr"/>
      <c r="F368" t="inlineStr"/>
      <c r="G368" t="inlineStr">
        <is>
          <t>N</t>
        </is>
      </c>
      <c r="H368" t="inlineStr"/>
      <c r="I368" t="inlineStr">
        <is>
          <t>none</t>
        </is>
      </c>
      <c r="J368" t="inlineStr">
        <is>
          <t>candidate</t>
        </is>
      </c>
      <c r="K368" t="inlineStr">
        <is>
          <t>Low</t>
        </is>
      </c>
      <c r="L368" t="inlineStr">
        <is>
          <t>dlp/2026/polaroid-style-collection/frozen</t>
        </is>
      </c>
    </row>
    <row r="369">
      <c r="A369" t="inlineStr">
        <is>
          <t>PHS-0153</t>
        </is>
      </c>
      <c r="B369" t="n">
        <v>4</v>
      </c>
      <c r="C369" t="inlineStr">
        <is>
          <t>Seven Dwarfs</t>
        </is>
      </c>
      <c r="D369" t="inlineStr">
        <is>
          <t>Seven Dwarfs – Polaroid style collection</t>
        </is>
      </c>
      <c r="E369" t="inlineStr"/>
      <c r="F369" t="inlineStr"/>
      <c r="G369" t="inlineStr">
        <is>
          <t>N</t>
        </is>
      </c>
      <c r="H369" t="inlineStr"/>
      <c r="I369" t="inlineStr">
        <is>
          <t>none</t>
        </is>
      </c>
      <c r="J369" t="inlineStr">
        <is>
          <t>candidate</t>
        </is>
      </c>
      <c r="K369" t="inlineStr">
        <is>
          <t>Medium</t>
        </is>
      </c>
      <c r="L369" t="inlineStr">
        <is>
          <t>dlp/2026/polaroid-style-collection/seven-dwarfs</t>
        </is>
      </c>
    </row>
    <row r="370">
      <c r="A370" t="inlineStr">
        <is>
          <t>PHS-0153</t>
        </is>
      </c>
      <c r="B370" t="n">
        <v>5</v>
      </c>
      <c r="C370" t="inlineStr"/>
      <c r="D370" t="inlineStr">
        <is>
          <t>Winnie the Pooh &amp; Friends</t>
        </is>
      </c>
      <c r="E370" t="inlineStr"/>
      <c r="F370" t="inlineStr"/>
      <c r="G370" t="inlineStr">
        <is>
          <t>N</t>
        </is>
      </c>
      <c r="H370" t="inlineStr"/>
      <c r="I370" t="inlineStr">
        <is>
          <t>none</t>
        </is>
      </c>
      <c r="J370" t="inlineStr">
        <is>
          <t>candidate</t>
        </is>
      </c>
      <c r="K370" t="inlineStr">
        <is>
          <t>Medium</t>
        </is>
      </c>
      <c r="L370" t="inlineStr">
        <is>
          <t>dlp/2026/polaroid-style-collection/winnie-the-pooh-and-friends</t>
        </is>
      </c>
    </row>
    <row r="371">
      <c r="A371" t="inlineStr">
        <is>
          <t>PHS-0154</t>
        </is>
      </c>
      <c r="B371" t="n">
        <v>1</v>
      </c>
      <c r="C371" t="inlineStr">
        <is>
          <t>Moana</t>
        </is>
      </c>
      <c r="D371" t="inlineStr">
        <is>
          <t>Moana – Princess Studio series - Moana</t>
        </is>
      </c>
      <c r="E371" t="inlineStr"/>
      <c r="F371" t="inlineStr"/>
      <c r="G371" t="inlineStr">
        <is>
          <t>N</t>
        </is>
      </c>
      <c r="H371" t="inlineStr"/>
      <c r="I371" t="inlineStr">
        <is>
          <t>none</t>
        </is>
      </c>
      <c r="J371" t="inlineStr">
        <is>
          <t>candidate</t>
        </is>
      </c>
      <c r="K371" t="inlineStr">
        <is>
          <t>Medium</t>
        </is>
      </c>
      <c r="L371" t="inlineStr">
        <is>
          <t>dlp/2026/princess-studio-moana/moana</t>
        </is>
      </c>
    </row>
    <row r="372">
      <c r="A372" t="inlineStr">
        <is>
          <t>PHS-0155</t>
        </is>
      </c>
      <c r="B372" t="n">
        <v>1</v>
      </c>
      <c r="C372" t="inlineStr">
        <is>
          <t>Chip; Dale</t>
        </is>
      </c>
      <c r="D372" t="inlineStr">
        <is>
          <t>Chip &amp; Dale – Bags collection</t>
        </is>
      </c>
      <c r="E372" t="inlineStr"/>
      <c r="F372" t="inlineStr"/>
      <c r="G372" t="inlineStr">
        <is>
          <t>N</t>
        </is>
      </c>
      <c r="H372" t="inlineStr"/>
      <c r="I372" t="inlineStr">
        <is>
          <t>none</t>
        </is>
      </c>
      <c r="J372" t="inlineStr">
        <is>
          <t>candidate</t>
        </is>
      </c>
      <c r="K372" t="inlineStr">
        <is>
          <t>Medium</t>
        </is>
      </c>
      <c r="L372" t="inlineStr">
        <is>
          <t>dlp/2026/bags-collection/chip-and-dale</t>
        </is>
      </c>
    </row>
    <row r="373">
      <c r="A373" t="inlineStr">
        <is>
          <t>PHS-0155</t>
        </is>
      </c>
      <c r="B373" t="n">
        <v>2</v>
      </c>
      <c r="C373" t="inlineStr">
        <is>
          <t>Lotso</t>
        </is>
      </c>
      <c r="D373" t="inlineStr">
        <is>
          <t>Lotso – Bags collection</t>
        </is>
      </c>
      <c r="E373" t="inlineStr"/>
      <c r="F373" t="inlineStr"/>
      <c r="G373" t="inlineStr">
        <is>
          <t>N</t>
        </is>
      </c>
      <c r="H373" t="inlineStr"/>
      <c r="I373" t="inlineStr">
        <is>
          <t>none</t>
        </is>
      </c>
      <c r="J373" t="inlineStr">
        <is>
          <t>candidate</t>
        </is>
      </c>
      <c r="K373" t="inlineStr">
        <is>
          <t>Medium</t>
        </is>
      </c>
      <c r="L373" t="inlineStr">
        <is>
          <t>dlp/2026/bags-collection/lotso</t>
        </is>
      </c>
    </row>
    <row r="374">
      <c r="A374" t="inlineStr">
        <is>
          <t>PHS-0155</t>
        </is>
      </c>
      <c r="B374" t="n">
        <v>3</v>
      </c>
      <c r="C374" t="inlineStr">
        <is>
          <t>Marie</t>
        </is>
      </c>
      <c r="D374" t="inlineStr">
        <is>
          <t>Marie – Bags collection</t>
        </is>
      </c>
      <c r="E374" t="inlineStr"/>
      <c r="F374" t="inlineStr"/>
      <c r="G374" t="inlineStr">
        <is>
          <t>N</t>
        </is>
      </c>
      <c r="H374" t="inlineStr"/>
      <c r="I374" t="inlineStr">
        <is>
          <t>none</t>
        </is>
      </c>
      <c r="J374" t="inlineStr">
        <is>
          <t>candidate</t>
        </is>
      </c>
      <c r="K374" t="inlineStr">
        <is>
          <t>Medium</t>
        </is>
      </c>
      <c r="L374" t="inlineStr">
        <is>
          <t>dlp/2026/bags-collection/marie</t>
        </is>
      </c>
    </row>
    <row r="375">
      <c r="A375" t="inlineStr">
        <is>
          <t>PHS-0155</t>
        </is>
      </c>
      <c r="B375" t="n">
        <v>4</v>
      </c>
      <c r="C375" t="inlineStr">
        <is>
          <t>Olaf</t>
        </is>
      </c>
      <c r="D375" t="inlineStr">
        <is>
          <t>Olaf – Bags collection</t>
        </is>
      </c>
      <c r="E375" t="inlineStr"/>
      <c r="F375" t="inlineStr"/>
      <c r="G375" t="inlineStr">
        <is>
          <t>N</t>
        </is>
      </c>
      <c r="H375" t="inlineStr"/>
      <c r="I375" t="inlineStr">
        <is>
          <t>none</t>
        </is>
      </c>
      <c r="J375" t="inlineStr">
        <is>
          <t>candidate</t>
        </is>
      </c>
      <c r="K375" t="inlineStr">
        <is>
          <t>Low</t>
        </is>
      </c>
      <c r="L375" t="inlineStr">
        <is>
          <t>dlp/2026/bags-collection/olaf</t>
        </is>
      </c>
    </row>
    <row r="376">
      <c r="A376" t="inlineStr">
        <is>
          <t>PHS-0155</t>
        </is>
      </c>
      <c r="B376" t="n">
        <v>5</v>
      </c>
      <c r="C376" t="inlineStr">
        <is>
          <t>Winnie the Pooh</t>
        </is>
      </c>
      <c r="D376" t="inlineStr">
        <is>
          <t>Winnie the Pooh – Bags collection</t>
        </is>
      </c>
      <c r="E376" t="inlineStr"/>
      <c r="F376" t="inlineStr"/>
      <c r="G376" t="inlineStr">
        <is>
          <t>N</t>
        </is>
      </c>
      <c r="H376" t="inlineStr"/>
      <c r="I376" t="inlineStr">
        <is>
          <t>none</t>
        </is>
      </c>
      <c r="J376" t="inlineStr">
        <is>
          <t>candidate</t>
        </is>
      </c>
      <c r="K376" t="inlineStr">
        <is>
          <t>Low</t>
        </is>
      </c>
      <c r="L376" t="inlineStr">
        <is>
          <t>dlp/2026/bags-collection/winnie-the-pooh</t>
        </is>
      </c>
    </row>
    <row r="377">
      <c r="A377" t="inlineStr">
        <is>
          <t>PHS-0156</t>
        </is>
      </c>
      <c r="B377" t="n">
        <v>1</v>
      </c>
      <c r="C377" t="inlineStr">
        <is>
          <t>Mickey Mouse</t>
        </is>
      </c>
      <c r="D377" t="inlineStr">
        <is>
          <t>Mickey Mouse – Minnie, Mickey and Steamboat Willie pins</t>
        </is>
      </c>
      <c r="E377" t="inlineStr"/>
      <c r="F377" t="inlineStr"/>
      <c r="G377" t="inlineStr">
        <is>
          <t>N</t>
        </is>
      </c>
      <c r="H377" t="inlineStr"/>
      <c r="I377" t="inlineStr">
        <is>
          <t>none</t>
        </is>
      </c>
      <c r="J377" t="inlineStr">
        <is>
          <t>candidate</t>
        </is>
      </c>
      <c r="K377" t="inlineStr">
        <is>
          <t>Low</t>
        </is>
      </c>
      <c r="L377" t="inlineStr">
        <is>
          <t>dlp/2026/mickey-minnie-steamboat-open-edition-september/mickey</t>
        </is>
      </c>
    </row>
    <row r="378">
      <c r="A378" t="inlineStr">
        <is>
          <t>PHS-0156</t>
        </is>
      </c>
      <c r="B378" t="n">
        <v>2</v>
      </c>
      <c r="C378" t="inlineStr">
        <is>
          <t>Minnie Mouse</t>
        </is>
      </c>
      <c r="D378" t="inlineStr">
        <is>
          <t>Minnie Mouse – Minnie, Mickey and Steamboat Willie pins</t>
        </is>
      </c>
      <c r="E378" t="inlineStr"/>
      <c r="F378" t="inlineStr"/>
      <c r="G378" t="inlineStr">
        <is>
          <t>N</t>
        </is>
      </c>
      <c r="H378" t="inlineStr"/>
      <c r="I378" t="inlineStr">
        <is>
          <t>none</t>
        </is>
      </c>
      <c r="J378" t="inlineStr">
        <is>
          <t>candidate</t>
        </is>
      </c>
      <c r="K378" t="inlineStr">
        <is>
          <t>Low</t>
        </is>
      </c>
      <c r="L378" t="inlineStr">
        <is>
          <t>dlp/2026/mickey-minnie-steamboat-open-edition-september/minnie</t>
        </is>
      </c>
    </row>
    <row r="379">
      <c r="A379" t="inlineStr">
        <is>
          <t>PHS-0156</t>
        </is>
      </c>
      <c r="B379" t="n">
        <v>3</v>
      </c>
      <c r="C379" t="inlineStr"/>
      <c r="D379" t="inlineStr">
        <is>
          <t>Steamboat Willie</t>
        </is>
      </c>
      <c r="E379" t="inlineStr"/>
      <c r="F379" t="inlineStr"/>
      <c r="G379" t="inlineStr">
        <is>
          <t>N</t>
        </is>
      </c>
      <c r="H379" t="inlineStr"/>
      <c r="I379" t="inlineStr">
        <is>
          <t>none</t>
        </is>
      </c>
      <c r="J379" t="inlineStr">
        <is>
          <t>candidate</t>
        </is>
      </c>
      <c r="K379" t="inlineStr">
        <is>
          <t>Low</t>
        </is>
      </c>
      <c r="L379" t="inlineStr">
        <is>
          <t>dlp/2026/mickey-minnie-steamboat-open-edition-september/steamboat-willie</t>
        </is>
      </c>
    </row>
    <row r="380">
      <c r="A380" t="inlineStr">
        <is>
          <t>PHS-0157</t>
        </is>
      </c>
      <c r="B380" t="n">
        <v>1</v>
      </c>
      <c r="C380" t="inlineStr">
        <is>
          <t>Marie</t>
        </is>
      </c>
      <c r="D380" t="inlineStr">
        <is>
          <t>Marie – Backpack pins (back to school)</t>
        </is>
      </c>
      <c r="E380" t="inlineStr"/>
      <c r="F380" t="inlineStr"/>
      <c r="G380" t="inlineStr">
        <is>
          <t>N</t>
        </is>
      </c>
      <c r="H380" t="inlineStr"/>
      <c r="I380" t="inlineStr">
        <is>
          <t>none</t>
        </is>
      </c>
      <c r="J380" t="inlineStr">
        <is>
          <t>candidate</t>
        </is>
      </c>
      <c r="K380" t="inlineStr">
        <is>
          <t>Low</t>
        </is>
      </c>
      <c r="L380" t="inlineStr">
        <is>
          <t>dlp/2026/backpack-open-edition-september/marie</t>
        </is>
      </c>
    </row>
    <row r="381">
      <c r="A381" t="inlineStr">
        <is>
          <t>PHS-0157</t>
        </is>
      </c>
      <c r="B381" t="n">
        <v>2</v>
      </c>
      <c r="C381" t="inlineStr">
        <is>
          <t>Panda Mei</t>
        </is>
      </c>
      <c r="D381" t="inlineStr">
        <is>
          <t>Panda Mei – Backpack pins (back to school)</t>
        </is>
      </c>
      <c r="E381" t="inlineStr"/>
      <c r="F381" t="inlineStr"/>
      <c r="G381" t="inlineStr">
        <is>
          <t>N</t>
        </is>
      </c>
      <c r="H381" t="inlineStr"/>
      <c r="I381" t="inlineStr">
        <is>
          <t>none</t>
        </is>
      </c>
      <c r="J381" t="inlineStr">
        <is>
          <t>candidate</t>
        </is>
      </c>
      <c r="K381" t="inlineStr">
        <is>
          <t>Low</t>
        </is>
      </c>
      <c r="L381" t="inlineStr">
        <is>
          <t>dlp/2026/backpack-open-edition-september/panda-mei</t>
        </is>
      </c>
    </row>
    <row r="382">
      <c r="A382" t="inlineStr">
        <is>
          <t>PHS-0157</t>
        </is>
      </c>
      <c r="B382" t="n">
        <v>3</v>
      </c>
      <c r="C382" t="inlineStr">
        <is>
          <t>Stitch</t>
        </is>
      </c>
      <c r="D382" t="inlineStr">
        <is>
          <t>Stitch – Backpack pins (back to school)</t>
        </is>
      </c>
      <c r="E382" t="inlineStr"/>
      <c r="F382" t="inlineStr"/>
      <c r="G382" t="inlineStr">
        <is>
          <t>N</t>
        </is>
      </c>
      <c r="H382" t="inlineStr"/>
      <c r="I382" t="inlineStr">
        <is>
          <t>none</t>
        </is>
      </c>
      <c r="J382" t="inlineStr">
        <is>
          <t>candidate</t>
        </is>
      </c>
      <c r="K382" t="inlineStr">
        <is>
          <t>Low</t>
        </is>
      </c>
      <c r="L382" t="inlineStr">
        <is>
          <t>dlp/2026/backpack-open-edition-september/stitch</t>
        </is>
      </c>
    </row>
    <row r="383">
      <c r="A383" t="inlineStr">
        <is>
          <t>PHS-0157</t>
        </is>
      </c>
      <c r="B383" t="n">
        <v>4</v>
      </c>
      <c r="C383" t="inlineStr">
        <is>
          <t>Winnie the Pooh</t>
        </is>
      </c>
      <c r="D383" t="inlineStr">
        <is>
          <t>Winnie the Pooh – Backpack pins (back to school)</t>
        </is>
      </c>
      <c r="E383" t="inlineStr"/>
      <c r="F383" t="inlineStr"/>
      <c r="G383" t="inlineStr">
        <is>
          <t>N</t>
        </is>
      </c>
      <c r="H383" t="inlineStr"/>
      <c r="I383" t="inlineStr">
        <is>
          <t>none</t>
        </is>
      </c>
      <c r="J383" t="inlineStr">
        <is>
          <t>candidate</t>
        </is>
      </c>
      <c r="K383" t="inlineStr">
        <is>
          <t>Low</t>
        </is>
      </c>
      <c r="L383" t="inlineStr">
        <is>
          <t>dlp/2026/backpack-open-edition-september/winnie-the-pooh</t>
        </is>
      </c>
    </row>
    <row r="384">
      <c r="A384" t="inlineStr">
        <is>
          <t>PHS-0158</t>
        </is>
      </c>
      <c r="B384" t="n">
        <v>1</v>
      </c>
      <c r="C384" t="inlineStr">
        <is>
          <t>Jasmine</t>
        </is>
      </c>
      <c r="D384" t="inlineStr">
        <is>
          <t>Jasmine – Princess Studio series - Jasmine</t>
        </is>
      </c>
      <c r="E384" t="inlineStr"/>
      <c r="F384" t="inlineStr"/>
      <c r="G384" t="inlineStr">
        <is>
          <t>N</t>
        </is>
      </c>
      <c r="H384" t="inlineStr"/>
      <c r="I384" t="inlineStr">
        <is>
          <t>none</t>
        </is>
      </c>
      <c r="J384" t="inlineStr">
        <is>
          <t>candidate</t>
        </is>
      </c>
      <c r="K384" t="inlineStr">
        <is>
          <t>Medium</t>
        </is>
      </c>
      <c r="L384" t="inlineStr">
        <is>
          <t>dlp/2026/princess-studio-jasmine/jasmine</t>
        </is>
      </c>
    </row>
    <row r="385">
      <c r="A385" t="inlineStr">
        <is>
          <t>PHS-0159</t>
        </is>
      </c>
      <c r="B385" t="n">
        <v>1</v>
      </c>
      <c r="C385" t="inlineStr"/>
      <c r="D385" t="inlineStr">
        <is>
          <t>Tales of Magic Mulan</t>
        </is>
      </c>
      <c r="E385" t="inlineStr"/>
      <c r="F385" t="inlineStr"/>
      <c r="G385" t="inlineStr">
        <is>
          <t>N</t>
        </is>
      </c>
      <c r="H385" t="inlineStr"/>
      <c r="I385" t="inlineStr">
        <is>
          <t>none</t>
        </is>
      </c>
      <c r="J385" t="inlineStr">
        <is>
          <t>candidate</t>
        </is>
      </c>
      <c r="K385" t="inlineStr">
        <is>
          <t>Low</t>
        </is>
      </c>
      <c r="L385" t="inlineStr">
        <is>
          <t>dlp/2026/tales-of-magic-mulan/mulan</t>
        </is>
      </c>
    </row>
    <row r="386">
      <c r="A386" t="inlineStr">
        <is>
          <t>PHS-0160</t>
        </is>
      </c>
      <c r="B386" t="n">
        <v>1</v>
      </c>
      <c r="C386" t="inlineStr">
        <is>
          <t>Baymax</t>
        </is>
      </c>
      <c r="D386" t="inlineStr">
        <is>
          <t>Baymax – Gameboy-inspired collection</t>
        </is>
      </c>
      <c r="E386" t="inlineStr"/>
      <c r="F386" t="inlineStr"/>
      <c r="G386" t="inlineStr">
        <is>
          <t>N</t>
        </is>
      </c>
      <c r="H386" t="inlineStr"/>
      <c r="I386" t="inlineStr">
        <is>
          <t>none</t>
        </is>
      </c>
      <c r="J386" t="inlineStr">
        <is>
          <t>candidate</t>
        </is>
      </c>
      <c r="K386" t="inlineStr">
        <is>
          <t>Low</t>
        </is>
      </c>
      <c r="L386" t="inlineStr">
        <is>
          <t>dlp/2026/gameboy-inspired-collection/baymax</t>
        </is>
      </c>
    </row>
    <row r="387">
      <c r="A387" t="inlineStr">
        <is>
          <t>PHS-0160</t>
        </is>
      </c>
      <c r="B387" t="n">
        <v>2</v>
      </c>
      <c r="C387" t="inlineStr">
        <is>
          <t>Olaf</t>
        </is>
      </c>
      <c r="D387" t="inlineStr">
        <is>
          <t>Olaf – Gameboy-inspired collection</t>
        </is>
      </c>
      <c r="E387" t="inlineStr"/>
      <c r="F387" t="inlineStr"/>
      <c r="G387" t="inlineStr">
        <is>
          <t>N</t>
        </is>
      </c>
      <c r="H387" t="inlineStr"/>
      <c r="I387" t="inlineStr">
        <is>
          <t>none</t>
        </is>
      </c>
      <c r="J387" t="inlineStr">
        <is>
          <t>candidate</t>
        </is>
      </c>
      <c r="K387" t="inlineStr">
        <is>
          <t>Low</t>
        </is>
      </c>
      <c r="L387" t="inlineStr">
        <is>
          <t>dlp/2026/gameboy-inspired-collection/olaf</t>
        </is>
      </c>
    </row>
    <row r="388">
      <c r="A388" t="inlineStr">
        <is>
          <t>PHS-0160</t>
        </is>
      </c>
      <c r="B388" t="n">
        <v>3</v>
      </c>
      <c r="C388" t="inlineStr">
        <is>
          <t>Simba</t>
        </is>
      </c>
      <c r="D388" t="inlineStr">
        <is>
          <t>Simba – Gameboy-inspired collection</t>
        </is>
      </c>
      <c r="E388" t="inlineStr"/>
      <c r="F388" t="inlineStr"/>
      <c r="G388" t="inlineStr">
        <is>
          <t>N</t>
        </is>
      </c>
      <c r="H388" t="inlineStr"/>
      <c r="I388" t="inlineStr">
        <is>
          <t>none</t>
        </is>
      </c>
      <c r="J388" t="inlineStr">
        <is>
          <t>candidate</t>
        </is>
      </c>
      <c r="K388" t="inlineStr">
        <is>
          <t>Low</t>
        </is>
      </c>
      <c r="L388" t="inlineStr">
        <is>
          <t>dlp/2026/gameboy-inspired-collection/simba</t>
        </is>
      </c>
    </row>
    <row r="389">
      <c r="A389" t="inlineStr">
        <is>
          <t>PHS-0160</t>
        </is>
      </c>
      <c r="B389" t="n">
        <v>4</v>
      </c>
      <c r="C389" t="inlineStr">
        <is>
          <t>Stitch</t>
        </is>
      </c>
      <c r="D389" t="inlineStr">
        <is>
          <t>Stitch – Gameboy-inspired collection</t>
        </is>
      </c>
      <c r="E389" t="inlineStr"/>
      <c r="F389" t="inlineStr"/>
      <c r="G389" t="inlineStr">
        <is>
          <t>N</t>
        </is>
      </c>
      <c r="H389" t="inlineStr"/>
      <c r="I389" t="inlineStr">
        <is>
          <t>none</t>
        </is>
      </c>
      <c r="J389" t="inlineStr">
        <is>
          <t>candidate</t>
        </is>
      </c>
      <c r="K389" t="inlineStr">
        <is>
          <t>Low</t>
        </is>
      </c>
      <c r="L389" t="inlineStr">
        <is>
          <t>dlp/2026/gameboy-inspired-collection/stitch</t>
        </is>
      </c>
    </row>
    <row r="390">
      <c r="A390" t="inlineStr">
        <is>
          <t>PHS-0161</t>
        </is>
      </c>
      <c r="B390" t="n">
        <v>1</v>
      </c>
      <c r="C390" t="inlineStr">
        <is>
          <t>Ariel</t>
        </is>
      </c>
      <c r="D390" t="inlineStr">
        <is>
          <t>Ariel (human)</t>
        </is>
      </c>
      <c r="E390" t="inlineStr"/>
      <c r="F390" t="inlineStr"/>
      <c r="G390" t="inlineStr">
        <is>
          <t>N</t>
        </is>
      </c>
      <c r="H390" t="inlineStr"/>
      <c r="I390" t="inlineStr">
        <is>
          <t>none</t>
        </is>
      </c>
      <c r="J390" t="inlineStr">
        <is>
          <t>candidate</t>
        </is>
      </c>
      <c r="K390" t="inlineStr">
        <is>
          <t>Medium</t>
        </is>
      </c>
      <c r="L390" t="inlineStr">
        <is>
          <t>dlp/2026/pin-trading-night-enchanted/ariel-human</t>
        </is>
      </c>
    </row>
    <row r="391">
      <c r="A391" t="inlineStr">
        <is>
          <t>PHS-0161</t>
        </is>
      </c>
      <c r="B391" t="n">
        <v>2</v>
      </c>
      <c r="C391" t="inlineStr">
        <is>
          <t>Ariel</t>
        </is>
      </c>
      <c r="D391" t="inlineStr">
        <is>
          <t>Ariel (mermaid)</t>
        </is>
      </c>
      <c r="E391" t="inlineStr"/>
      <c r="F391" t="inlineStr"/>
      <c r="G391" t="inlineStr">
        <is>
          <t>N</t>
        </is>
      </c>
      <c r="H391" t="inlineStr"/>
      <c r="I391" t="inlineStr">
        <is>
          <t>none</t>
        </is>
      </c>
      <c r="J391" t="inlineStr">
        <is>
          <t>candidate</t>
        </is>
      </c>
      <c r="K391" t="inlineStr">
        <is>
          <t>Medium</t>
        </is>
      </c>
      <c r="L391" t="inlineStr">
        <is>
          <t>dlp/2026/pin-trading-night-enchanted/ariel-mermaid</t>
        </is>
      </c>
    </row>
    <row r="392">
      <c r="A392" t="inlineStr">
        <is>
          <t>PHS-0161</t>
        </is>
      </c>
      <c r="B392" t="n">
        <v>3</v>
      </c>
      <c r="C392" t="inlineStr">
        <is>
          <t>Beast</t>
        </is>
      </c>
      <c r="D392" t="inlineStr">
        <is>
          <t>Beast – Pin Trading Night - Enchanted</t>
        </is>
      </c>
      <c r="E392" t="inlineStr"/>
      <c r="F392" t="inlineStr"/>
      <c r="G392" t="inlineStr">
        <is>
          <t>N</t>
        </is>
      </c>
      <c r="H392" t="inlineStr"/>
      <c r="I392" t="inlineStr">
        <is>
          <t>none</t>
        </is>
      </c>
      <c r="J392" t="inlineStr">
        <is>
          <t>candidate</t>
        </is>
      </c>
      <c r="K392" t="inlineStr">
        <is>
          <t>Low</t>
        </is>
      </c>
      <c r="L392" t="inlineStr">
        <is>
          <t>dlp/2026/pin-trading-night-enchanted/beast</t>
        </is>
      </c>
    </row>
    <row r="393">
      <c r="A393" t="inlineStr">
        <is>
          <t>PHS-0161</t>
        </is>
      </c>
      <c r="B393" t="n">
        <v>4</v>
      </c>
      <c r="C393" t="inlineStr">
        <is>
          <t>Rapunzel</t>
        </is>
      </c>
      <c r="D393" t="inlineStr">
        <is>
          <t>Rapunzel – Pin Trading Night - Enchanted</t>
        </is>
      </c>
      <c r="E393" t="inlineStr"/>
      <c r="F393" t="inlineStr"/>
      <c r="G393" t="inlineStr">
        <is>
          <t>N</t>
        </is>
      </c>
      <c r="H393" t="inlineStr"/>
      <c r="I393" t="inlineStr">
        <is>
          <t>none</t>
        </is>
      </c>
      <c r="J393" t="inlineStr">
        <is>
          <t>candidate</t>
        </is>
      </c>
      <c r="K393" t="inlineStr">
        <is>
          <t>Low</t>
        </is>
      </c>
      <c r="L393" t="inlineStr">
        <is>
          <t>dlp/2026/pin-trading-night-enchanted/rapunzel</t>
        </is>
      </c>
    </row>
    <row r="394">
      <c r="A394" t="inlineStr">
        <is>
          <t>PHS-0162</t>
        </is>
      </c>
      <c r="B394" t="n">
        <v>1</v>
      </c>
      <c r="C394" t="inlineStr">
        <is>
          <t>Cheshire Cat</t>
        </is>
      </c>
      <c r="D394" t="inlineStr">
        <is>
          <t>Cheshire Cat – Halloween (September releases)</t>
        </is>
      </c>
      <c r="E394" t="inlineStr"/>
      <c r="F394" t="inlineStr"/>
      <c r="G394" t="inlineStr">
        <is>
          <t>N</t>
        </is>
      </c>
      <c r="H394" t="inlineStr"/>
      <c r="I394" t="inlineStr">
        <is>
          <t>none</t>
        </is>
      </c>
      <c r="J394" t="inlineStr">
        <is>
          <t>candidate</t>
        </is>
      </c>
      <c r="K394" t="inlineStr">
        <is>
          <t>Low</t>
        </is>
      </c>
      <c r="L394" t="inlineStr">
        <is>
          <t>dlp/2026/halloween-2026-september/cheshire-cat</t>
        </is>
      </c>
    </row>
    <row r="395">
      <c r="A395" t="inlineStr">
        <is>
          <t>PHS-0162</t>
        </is>
      </c>
      <c r="B395" t="n">
        <v>2</v>
      </c>
      <c r="C395" t="inlineStr">
        <is>
          <t>Figaro</t>
        </is>
      </c>
      <c r="D395" t="inlineStr">
        <is>
          <t>Figaro – Halloween (September releases)</t>
        </is>
      </c>
      <c r="E395" t="inlineStr"/>
      <c r="F395" t="inlineStr"/>
      <c r="G395" t="inlineStr">
        <is>
          <t>N</t>
        </is>
      </c>
      <c r="H395" t="inlineStr"/>
      <c r="I395" t="inlineStr">
        <is>
          <t>none</t>
        </is>
      </c>
      <c r="J395" t="inlineStr">
        <is>
          <t>candidate</t>
        </is>
      </c>
      <c r="K395" t="inlineStr">
        <is>
          <t>Low</t>
        </is>
      </c>
      <c r="L395" t="inlineStr">
        <is>
          <t>dlp/2026/halloween-2026-september/figaro</t>
        </is>
      </c>
    </row>
    <row r="396">
      <c r="A396" t="inlineStr">
        <is>
          <t>PHS-0162</t>
        </is>
      </c>
      <c r="B396" t="n">
        <v>3</v>
      </c>
      <c r="C396" t="inlineStr">
        <is>
          <t>Lucifer</t>
        </is>
      </c>
      <c r="D396" t="inlineStr">
        <is>
          <t>Lucifer – Halloween (September releases)</t>
        </is>
      </c>
      <c r="E396" t="inlineStr"/>
      <c r="F396" t="inlineStr"/>
      <c r="G396" t="inlineStr">
        <is>
          <t>N</t>
        </is>
      </c>
      <c r="H396" t="inlineStr"/>
      <c r="I396" t="inlineStr">
        <is>
          <t>none</t>
        </is>
      </c>
      <c r="J396" t="inlineStr">
        <is>
          <t>candidate</t>
        </is>
      </c>
      <c r="K396" t="inlineStr">
        <is>
          <t>Low</t>
        </is>
      </c>
      <c r="L396" t="inlineStr">
        <is>
          <t>dlp/2026/halloween-2026-september/lucifer</t>
        </is>
      </c>
    </row>
    <row r="397">
      <c r="A397" t="inlineStr">
        <is>
          <t>PHS-0162</t>
        </is>
      </c>
      <c r="B397" t="n">
        <v>4</v>
      </c>
      <c r="C397" t="inlineStr">
        <is>
          <t>Marie</t>
        </is>
      </c>
      <c r="D397" t="inlineStr">
        <is>
          <t>Marie – Halloween (September releases)</t>
        </is>
      </c>
      <c r="E397" t="inlineStr"/>
      <c r="F397" t="inlineStr"/>
      <c r="G397" t="inlineStr">
        <is>
          <t>N</t>
        </is>
      </c>
      <c r="H397" t="inlineStr"/>
      <c r="I397" t="inlineStr">
        <is>
          <t>none</t>
        </is>
      </c>
      <c r="J397" t="inlineStr">
        <is>
          <t>candidate</t>
        </is>
      </c>
      <c r="K397" t="inlineStr">
        <is>
          <t>Low</t>
        </is>
      </c>
      <c r="L397" t="inlineStr">
        <is>
          <t>dlp/2026/halloween-2026-september/marie</t>
        </is>
      </c>
    </row>
    <row r="398">
      <c r="A398" t="inlineStr">
        <is>
          <t>PHS-0163</t>
        </is>
      </c>
      <c r="B398" t="n">
        <v>1</v>
      </c>
      <c r="C398" t="inlineStr">
        <is>
          <t>Kuzco</t>
        </is>
      </c>
      <c r="D398" t="inlineStr">
        <is>
          <t>Kuzco – Kuzco limited edition</t>
        </is>
      </c>
      <c r="E398" t="inlineStr"/>
      <c r="F398" t="inlineStr"/>
      <c r="G398" t="inlineStr">
        <is>
          <t>N</t>
        </is>
      </c>
      <c r="H398" t="inlineStr"/>
      <c r="I398" t="inlineStr">
        <is>
          <t>none</t>
        </is>
      </c>
      <c r="J398" t="inlineStr">
        <is>
          <t>candidate</t>
        </is>
      </c>
      <c r="K398" t="inlineStr">
        <is>
          <t>Medium</t>
        </is>
      </c>
      <c r="L398" t="inlineStr">
        <is>
          <t>dlp/2026/kuzco-le-september/kuzco-llama</t>
        </is>
      </c>
    </row>
    <row r="399">
      <c r="A399" t="inlineStr">
        <is>
          <t>PHS-0164</t>
        </is>
      </c>
      <c r="B399" t="n">
        <v>1</v>
      </c>
      <c r="C399" t="inlineStr">
        <is>
          <t>Dumbo</t>
        </is>
      </c>
      <c r="D399" t="inlineStr">
        <is>
          <t>Dumbo – Dumbo 85th anniversary</t>
        </is>
      </c>
      <c r="E399" t="inlineStr"/>
      <c r="F399" t="inlineStr"/>
      <c r="G399" t="inlineStr">
        <is>
          <t>N</t>
        </is>
      </c>
      <c r="H399" t="inlineStr"/>
      <c r="I399" t="inlineStr">
        <is>
          <t>none</t>
        </is>
      </c>
      <c r="J399" t="inlineStr">
        <is>
          <t>candidate</t>
        </is>
      </c>
      <c r="K399" t="inlineStr">
        <is>
          <t>Low</t>
        </is>
      </c>
      <c r="L399" t="inlineStr">
        <is>
          <t>dlp/2026/dumbo-85th-anniversary/dumbo</t>
        </is>
      </c>
    </row>
    <row r="400">
      <c r="A400" t="inlineStr">
        <is>
          <t>PHS-0165</t>
        </is>
      </c>
      <c r="B400" t="n">
        <v>1</v>
      </c>
      <c r="C400" t="inlineStr">
        <is>
          <t>Mickey Mouse</t>
        </is>
      </c>
      <c r="D400" t="inlineStr">
        <is>
          <t>Mickey Mouse – Halloween 2026</t>
        </is>
      </c>
      <c r="E400" t="inlineStr"/>
      <c r="F400" t="inlineStr"/>
      <c r="G400" t="inlineStr">
        <is>
          <t>N</t>
        </is>
      </c>
      <c r="H400" t="inlineStr"/>
      <c r="I400" t="inlineStr">
        <is>
          <t>none</t>
        </is>
      </c>
      <c r="J400" t="inlineStr">
        <is>
          <t>candidate</t>
        </is>
      </c>
      <c r="K400" t="inlineStr">
        <is>
          <t>Low</t>
        </is>
      </c>
      <c r="L400" t="inlineStr">
        <is>
          <t>dlp/2026/halloween-2026-mickey/mickey</t>
        </is>
      </c>
    </row>
    <row r="401">
      <c r="A401" t="inlineStr">
        <is>
          <t>PHS-0166</t>
        </is>
      </c>
      <c r="B401" t="n">
        <v>1</v>
      </c>
      <c r="C401" t="inlineStr">
        <is>
          <t>Mickey Mouse</t>
        </is>
      </c>
      <c r="D401" t="inlineStr">
        <is>
          <t>Mickey Mouse – Pin Trading 25th anniversary classic Mickey</t>
        </is>
      </c>
      <c r="E401" t="inlineStr"/>
      <c r="F401" t="inlineStr"/>
      <c r="G401" t="inlineStr">
        <is>
          <t>N</t>
        </is>
      </c>
      <c r="H401" t="inlineStr"/>
      <c r="I401" t="inlineStr">
        <is>
          <t>none</t>
        </is>
      </c>
      <c r="J401" t="inlineStr">
        <is>
          <t>candidate</t>
        </is>
      </c>
      <c r="K401" t="inlineStr">
        <is>
          <t>Low</t>
        </is>
      </c>
      <c r="L401" t="inlineStr">
        <is>
          <t>dlp/2026/pin-trading-25th-anniversary-mickey/mickey</t>
        </is>
      </c>
    </row>
    <row r="402">
      <c r="A402" t="inlineStr">
        <is>
          <t>PHS-0167</t>
        </is>
      </c>
      <c r="B402" t="n">
        <v>1</v>
      </c>
      <c r="C402" t="inlineStr">
        <is>
          <t>Ariel</t>
        </is>
      </c>
      <c r="D402" t="inlineStr">
        <is>
          <t>Ariel – Princess Studio - Ariel</t>
        </is>
      </c>
      <c r="E402" t="inlineStr"/>
      <c r="F402" t="inlineStr"/>
      <c r="G402" t="inlineStr">
        <is>
          <t>N</t>
        </is>
      </c>
      <c r="H402" t="inlineStr"/>
      <c r="I402" t="inlineStr">
        <is>
          <t>none</t>
        </is>
      </c>
      <c r="J402" t="inlineStr">
        <is>
          <t>candidate</t>
        </is>
      </c>
      <c r="K402" t="inlineStr">
        <is>
          <t>Low</t>
        </is>
      </c>
      <c r="L402" t="inlineStr">
        <is>
          <t>dlp/2026/princess-studio-ariel/ariel</t>
        </is>
      </c>
    </row>
    <row r="403">
      <c r="A403" t="inlineStr">
        <is>
          <t>PHS-0168</t>
        </is>
      </c>
      <c r="B403" t="n">
        <v>1</v>
      </c>
      <c r="C403" t="inlineStr">
        <is>
          <t>Snow White</t>
        </is>
      </c>
      <c r="D403" t="inlineStr">
        <is>
          <t>Snow White – Snow White LE</t>
        </is>
      </c>
      <c r="E403" t="inlineStr"/>
      <c r="F403" t="inlineStr"/>
      <c r="G403" t="inlineStr">
        <is>
          <t>N</t>
        </is>
      </c>
      <c r="H403" t="inlineStr"/>
      <c r="I403" t="inlineStr">
        <is>
          <t>none</t>
        </is>
      </c>
      <c r="J403" t="inlineStr">
        <is>
          <t>candidate</t>
        </is>
      </c>
      <c r="K403" t="inlineStr">
        <is>
          <t>Low</t>
        </is>
      </c>
      <c r="L403" t="inlineStr">
        <is>
          <t>dlp/2026/snow-white-le-october/snow-white</t>
        </is>
      </c>
    </row>
    <row r="404">
      <c r="A404" t="inlineStr">
        <is>
          <t>PHS-0169</t>
        </is>
      </c>
      <c r="B404" t="n">
        <v>1</v>
      </c>
      <c r="C404" t="inlineStr">
        <is>
          <t>Evil Queen</t>
        </is>
      </c>
      <c r="D404" t="inlineStr">
        <is>
          <t>Evil Queen – Disney Villains open edition pins</t>
        </is>
      </c>
      <c r="E404" t="inlineStr"/>
      <c r="F404" t="inlineStr"/>
      <c r="G404" t="inlineStr">
        <is>
          <t>possible</t>
        </is>
      </c>
      <c r="H404" t="inlineStr"/>
      <c r="I404" t="inlineStr">
        <is>
          <t>none</t>
        </is>
      </c>
      <c r="J404" t="inlineStr">
        <is>
          <t>candidate</t>
        </is>
      </c>
      <c r="K404" t="inlineStr">
        <is>
          <t>Low</t>
        </is>
      </c>
      <c r="L404" t="inlineStr">
        <is>
          <t>dlp/2026/villains-open-edition-october/evil-queen</t>
        </is>
      </c>
    </row>
    <row r="405">
      <c r="A405" t="inlineStr">
        <is>
          <t>PHS-0169</t>
        </is>
      </c>
      <c r="B405" t="n">
        <v>2</v>
      </c>
      <c r="C405" t="inlineStr">
        <is>
          <t>Gaston</t>
        </is>
      </c>
      <c r="D405" t="inlineStr">
        <is>
          <t>Gaston – Disney Villains open edition pins</t>
        </is>
      </c>
      <c r="E405" t="inlineStr"/>
      <c r="F405" t="inlineStr"/>
      <c r="G405" t="inlineStr">
        <is>
          <t>possible</t>
        </is>
      </c>
      <c r="H405" t="inlineStr"/>
      <c r="I405" t="inlineStr">
        <is>
          <t>none</t>
        </is>
      </c>
      <c r="J405" t="inlineStr">
        <is>
          <t>candidate</t>
        </is>
      </c>
      <c r="K405" t="inlineStr">
        <is>
          <t>Low</t>
        </is>
      </c>
      <c r="L405" t="inlineStr">
        <is>
          <t>dlp/2026/villains-open-edition-october/gaston</t>
        </is>
      </c>
    </row>
    <row r="406">
      <c r="A406" t="inlineStr">
        <is>
          <t>PHS-0169</t>
        </is>
      </c>
      <c r="B406" t="n">
        <v>3</v>
      </c>
      <c r="C406" t="inlineStr">
        <is>
          <t>Scar</t>
        </is>
      </c>
      <c r="D406" t="inlineStr">
        <is>
          <t>Scar – Disney Villains open edition pins</t>
        </is>
      </c>
      <c r="E406" t="inlineStr"/>
      <c r="F406" t="inlineStr"/>
      <c r="G406" t="inlineStr">
        <is>
          <t>possible</t>
        </is>
      </c>
      <c r="H406" t="inlineStr"/>
      <c r="I406" t="inlineStr">
        <is>
          <t>none</t>
        </is>
      </c>
      <c r="J406" t="inlineStr">
        <is>
          <t>candidate</t>
        </is>
      </c>
      <c r="K406" t="inlineStr">
        <is>
          <t>Low</t>
        </is>
      </c>
      <c r="L406" t="inlineStr">
        <is>
          <t>dlp/2026/villains-open-edition-october/scar</t>
        </is>
      </c>
    </row>
    <row r="407">
      <c r="A407" t="inlineStr">
        <is>
          <t>PHS-0169</t>
        </is>
      </c>
      <c r="B407" t="n">
        <v>4</v>
      </c>
      <c r="C407" t="inlineStr">
        <is>
          <t>Ursula</t>
        </is>
      </c>
      <c r="D407" t="inlineStr">
        <is>
          <t>Ursula – Disney Villains open edition pins</t>
        </is>
      </c>
      <c r="E407" t="inlineStr"/>
      <c r="F407" t="inlineStr"/>
      <c r="G407" t="inlineStr">
        <is>
          <t>possible</t>
        </is>
      </c>
      <c r="H407" t="inlineStr"/>
      <c r="I407" t="inlineStr">
        <is>
          <t>none</t>
        </is>
      </c>
      <c r="J407" t="inlineStr">
        <is>
          <t>candidate</t>
        </is>
      </c>
      <c r="K407" t="inlineStr">
        <is>
          <t>Low</t>
        </is>
      </c>
      <c r="L407" t="inlineStr">
        <is>
          <t>dlp/2026/villains-open-edition-october/ursula</t>
        </is>
      </c>
    </row>
    <row r="408">
      <c r="A408" t="inlineStr">
        <is>
          <t>PHS-0170</t>
        </is>
      </c>
      <c r="B408" t="n">
        <v>1</v>
      </c>
      <c r="C408" t="inlineStr">
        <is>
          <t>Hercules</t>
        </is>
      </c>
      <c r="D408" t="inlineStr">
        <is>
          <t>Hercules – Hercules LE</t>
        </is>
      </c>
      <c r="E408" t="inlineStr"/>
      <c r="F408" t="inlineStr"/>
      <c r="G408" t="inlineStr">
        <is>
          <t>N</t>
        </is>
      </c>
      <c r="H408" t="inlineStr"/>
      <c r="I408" t="inlineStr">
        <is>
          <t>none</t>
        </is>
      </c>
      <c r="J408" t="inlineStr">
        <is>
          <t>candidate</t>
        </is>
      </c>
      <c r="K408" t="inlineStr">
        <is>
          <t>Low</t>
        </is>
      </c>
      <c r="L408" t="inlineStr">
        <is>
          <t>dlp/2026/hercules-le-october/hercules</t>
        </is>
      </c>
    </row>
    <row r="409">
      <c r="A409" t="inlineStr">
        <is>
          <t>PHS-0171</t>
        </is>
      </c>
      <c r="B409" t="n">
        <v>1</v>
      </c>
      <c r="C409" t="inlineStr">
        <is>
          <t>Baloo; Mowgli</t>
        </is>
      </c>
      <c r="D409" t="inlineStr">
        <is>
          <t>Baloo &amp; Mowgli – Best Buds (2023)</t>
        </is>
      </c>
      <c r="E409" t="inlineStr"/>
      <c r="F409" t="inlineStr"/>
      <c r="G409" t="inlineStr">
        <is>
          <t>N</t>
        </is>
      </c>
      <c r="H409" t="inlineStr"/>
      <c r="I409" t="inlineStr">
        <is>
          <t>none</t>
        </is>
      </c>
      <c r="J409" t="inlineStr">
        <is>
          <t>candidate</t>
        </is>
      </c>
      <c r="K409" t="inlineStr">
        <is>
          <t>Low</t>
        </is>
      </c>
      <c r="L409" t="inlineStr">
        <is>
          <t>dlr/2023/best-buds-2023/baloo-and-mowgli</t>
        </is>
      </c>
    </row>
    <row r="410">
      <c r="A410" t="inlineStr">
        <is>
          <t>PHS-0171</t>
        </is>
      </c>
      <c r="B410" t="n">
        <v>2</v>
      </c>
      <c r="C410" t="inlineStr">
        <is>
          <t>Dumbo; Mrs. Jumbo</t>
        </is>
      </c>
      <c r="D410" t="inlineStr">
        <is>
          <t>Dumbo &amp; Mrs. Jumbo – Best Buds (2023)</t>
        </is>
      </c>
      <c r="E410" t="inlineStr"/>
      <c r="F410" t="inlineStr"/>
      <c r="G410" t="inlineStr">
        <is>
          <t>N</t>
        </is>
      </c>
      <c r="H410" t="inlineStr"/>
      <c r="I410" t="inlineStr">
        <is>
          <t>none</t>
        </is>
      </c>
      <c r="J410" t="inlineStr">
        <is>
          <t>candidate</t>
        </is>
      </c>
      <c r="K410" t="inlineStr">
        <is>
          <t>Low</t>
        </is>
      </c>
      <c r="L410" t="inlineStr">
        <is>
          <t>dlr/2023/best-buds-2023/dumbo-and-mrs-jumbo</t>
        </is>
      </c>
    </row>
    <row r="411">
      <c r="A411" t="inlineStr">
        <is>
          <t>PHS-0171</t>
        </is>
      </c>
      <c r="B411" t="n">
        <v>3</v>
      </c>
      <c r="C411" t="inlineStr">
        <is>
          <t>Goofy; Max</t>
        </is>
      </c>
      <c r="D411" t="inlineStr">
        <is>
          <t>Goofy &amp; Max – Best Buds (2023)</t>
        </is>
      </c>
      <c r="E411" t="inlineStr"/>
      <c r="F411" t="inlineStr"/>
      <c r="G411" t="inlineStr">
        <is>
          <t>N</t>
        </is>
      </c>
      <c r="H411" t="inlineStr"/>
      <c r="I411" t="inlineStr">
        <is>
          <t>none</t>
        </is>
      </c>
      <c r="J411" t="inlineStr">
        <is>
          <t>candidate</t>
        </is>
      </c>
      <c r="K411" t="inlineStr">
        <is>
          <t>Low</t>
        </is>
      </c>
      <c r="L411" t="inlineStr">
        <is>
          <t>dlr/2023/best-buds-2023/goofy-and-max</t>
        </is>
      </c>
    </row>
    <row r="412">
      <c r="A412" t="inlineStr">
        <is>
          <t>PHS-0171</t>
        </is>
      </c>
      <c r="B412" t="n">
        <v>4</v>
      </c>
      <c r="C412" t="inlineStr">
        <is>
          <t>Lady; Tramp</t>
        </is>
      </c>
      <c r="D412" t="inlineStr">
        <is>
          <t>Lady &amp; Tramp – Best Buds (2023)</t>
        </is>
      </c>
      <c r="E412" t="inlineStr"/>
      <c r="F412" t="inlineStr"/>
      <c r="G412" t="inlineStr">
        <is>
          <t>N</t>
        </is>
      </c>
      <c r="H412" t="inlineStr"/>
      <c r="I412" t="inlineStr">
        <is>
          <t>none</t>
        </is>
      </c>
      <c r="J412" t="inlineStr">
        <is>
          <t>candidate</t>
        </is>
      </c>
      <c r="K412" t="inlineStr">
        <is>
          <t>Low</t>
        </is>
      </c>
      <c r="L412" t="inlineStr">
        <is>
          <t>dlr/2023/best-buds-2023/lady-and-tramp</t>
        </is>
      </c>
    </row>
    <row r="413">
      <c r="A413" t="inlineStr">
        <is>
          <t>PHS-0171</t>
        </is>
      </c>
      <c r="B413" t="n">
        <v>5</v>
      </c>
      <c r="C413" t="inlineStr">
        <is>
          <t>Lilo; Stitch</t>
        </is>
      </c>
      <c r="D413" t="inlineStr">
        <is>
          <t>Lilo &amp; Stitch – Best Buds (2023)</t>
        </is>
      </c>
      <c r="E413" t="inlineStr"/>
      <c r="F413" t="inlineStr"/>
      <c r="G413" t="inlineStr">
        <is>
          <t>N</t>
        </is>
      </c>
      <c r="H413" t="inlineStr"/>
      <c r="I413" t="inlineStr">
        <is>
          <t>none</t>
        </is>
      </c>
      <c r="J413" t="inlineStr">
        <is>
          <t>candidate</t>
        </is>
      </c>
      <c r="K413" t="inlineStr">
        <is>
          <t>Low</t>
        </is>
      </c>
      <c r="L413" t="inlineStr">
        <is>
          <t>dlr/2023/best-buds-2023/lilo-and-stitch</t>
        </is>
      </c>
    </row>
    <row r="414">
      <c r="A414" t="inlineStr">
        <is>
          <t>PHS-0171</t>
        </is>
      </c>
      <c r="B414" t="n">
        <v>6</v>
      </c>
      <c r="C414" t="inlineStr">
        <is>
          <t>Figaro; Minnie Mouse</t>
        </is>
      </c>
      <c r="D414" t="inlineStr">
        <is>
          <t>Figaro &amp; Minnie Mouse – Best Buds (2023)</t>
        </is>
      </c>
      <c r="E414" t="inlineStr"/>
      <c r="F414" t="inlineStr"/>
      <c r="G414" t="inlineStr">
        <is>
          <t>N</t>
        </is>
      </c>
      <c r="H414" t="inlineStr"/>
      <c r="I414" t="inlineStr">
        <is>
          <t>none</t>
        </is>
      </c>
      <c r="J414" t="inlineStr">
        <is>
          <t>candidate</t>
        </is>
      </c>
      <c r="K414" t="inlineStr">
        <is>
          <t>Low</t>
        </is>
      </c>
      <c r="L414" t="inlineStr">
        <is>
          <t>dlr/2023/best-buds-2023/minnie-mouse-and-figaro</t>
        </is>
      </c>
    </row>
    <row r="415">
      <c r="A415" t="inlineStr">
        <is>
          <t>PHS-0171</t>
        </is>
      </c>
      <c r="B415" t="n">
        <v>7</v>
      </c>
      <c r="C415" t="inlineStr">
        <is>
          <t>Geppetto; Pinocchio</t>
        </is>
      </c>
      <c r="D415" t="inlineStr">
        <is>
          <t>Disney Best Buds: Pinocchio</t>
        </is>
      </c>
      <c r="E415" t="inlineStr"/>
      <c r="F415" t="n">
        <v>2500</v>
      </c>
      <c r="G415" t="inlineStr">
        <is>
          <t>N</t>
        </is>
      </c>
      <c r="H415" t="inlineStr"/>
      <c r="I415" t="inlineStr">
        <is>
          <t>none</t>
        </is>
      </c>
      <c r="J415" t="inlineStr">
        <is>
          <t>candidate</t>
        </is>
      </c>
      <c r="K415" t="inlineStr">
        <is>
          <t>Low</t>
        </is>
      </c>
      <c r="L415" t="inlineStr">
        <is>
          <t>dlr/2023/best-buds-2023/pinocchio-and-geppetto</t>
        </is>
      </c>
    </row>
    <row r="416">
      <c r="A416" t="inlineStr">
        <is>
          <t>PHS-0171</t>
        </is>
      </c>
      <c r="B416" t="n">
        <v>8</v>
      </c>
      <c r="C416" t="inlineStr">
        <is>
          <t>Lucky; Pongo</t>
        </is>
      </c>
      <c r="D416" t="inlineStr">
        <is>
          <t>Lucky &amp; Pongo – Best Buds (2023)</t>
        </is>
      </c>
      <c r="E416" t="inlineStr"/>
      <c r="F416" t="inlineStr"/>
      <c r="G416" t="inlineStr">
        <is>
          <t>N</t>
        </is>
      </c>
      <c r="H416" t="inlineStr"/>
      <c r="I416" t="inlineStr">
        <is>
          <t>none</t>
        </is>
      </c>
      <c r="J416" t="inlineStr">
        <is>
          <t>candidate</t>
        </is>
      </c>
      <c r="K416" t="inlineStr">
        <is>
          <t>Low</t>
        </is>
      </c>
      <c r="L416" t="inlineStr">
        <is>
          <t>dlr/2023/best-buds-2023/pongo-and-lucky</t>
        </is>
      </c>
    </row>
    <row r="417">
      <c r="A417" t="inlineStr">
        <is>
          <t>PHS-0171</t>
        </is>
      </c>
      <c r="B417" t="n">
        <v>9</v>
      </c>
      <c r="C417" t="inlineStr">
        <is>
          <t>Pumbaa; Timon</t>
        </is>
      </c>
      <c r="D417" t="inlineStr">
        <is>
          <t>Pumbaa &amp; Timon – Best Buds (2023)</t>
        </is>
      </c>
      <c r="E417" t="inlineStr"/>
      <c r="F417" t="inlineStr"/>
      <c r="G417" t="inlineStr">
        <is>
          <t>N</t>
        </is>
      </c>
      <c r="H417" t="inlineStr"/>
      <c r="I417" t="inlineStr">
        <is>
          <t>none</t>
        </is>
      </c>
      <c r="J417" t="inlineStr">
        <is>
          <t>candidate</t>
        </is>
      </c>
      <c r="K417" t="inlineStr">
        <is>
          <t>Low</t>
        </is>
      </c>
      <c r="L417" t="inlineStr">
        <is>
          <t>dlr/2023/best-buds-2023/pumbaa-and-timon</t>
        </is>
      </c>
    </row>
    <row r="418">
      <c r="A418" t="inlineStr">
        <is>
          <t>PHS-0171</t>
        </is>
      </c>
      <c r="B418" t="n">
        <v>10</v>
      </c>
      <c r="C418" t="inlineStr">
        <is>
          <t>Mike Wazowski; Sulley</t>
        </is>
      </c>
      <c r="D418" t="inlineStr">
        <is>
          <t>Mike Wazowski &amp; Sulley – Best Buds (2023)</t>
        </is>
      </c>
      <c r="E418" t="inlineStr"/>
      <c r="F418" t="inlineStr"/>
      <c r="G418" t="inlineStr">
        <is>
          <t>N</t>
        </is>
      </c>
      <c r="H418" t="inlineStr"/>
      <c r="I418" t="inlineStr">
        <is>
          <t>none</t>
        </is>
      </c>
      <c r="J418" t="inlineStr">
        <is>
          <t>candidate</t>
        </is>
      </c>
      <c r="K418" t="inlineStr">
        <is>
          <t>Medium</t>
        </is>
      </c>
      <c r="L418" t="inlineStr">
        <is>
          <t>dlr/2023/best-buds-2023/sulley-and-mike-wazowski</t>
        </is>
      </c>
    </row>
    <row r="419">
      <c r="A419" t="inlineStr">
        <is>
          <t>PHS-0171</t>
        </is>
      </c>
      <c r="B419" t="n">
        <v>11</v>
      </c>
      <c r="C419" t="inlineStr">
        <is>
          <t>Ralph; Vanellope</t>
        </is>
      </c>
      <c r="D419" t="inlineStr">
        <is>
          <t>Ralph &amp; Vanellope – Best Buds (2023)</t>
        </is>
      </c>
      <c r="E419" t="inlineStr"/>
      <c r="F419" t="inlineStr"/>
      <c r="G419" t="inlineStr">
        <is>
          <t>N</t>
        </is>
      </c>
      <c r="H419" t="inlineStr"/>
      <c r="I419" t="inlineStr">
        <is>
          <t>none</t>
        </is>
      </c>
      <c r="J419" t="inlineStr">
        <is>
          <t>candidate</t>
        </is>
      </c>
      <c r="K419" t="inlineStr">
        <is>
          <t>Low</t>
        </is>
      </c>
      <c r="L419" t="inlineStr">
        <is>
          <t>dlr/2023/best-buds-2023/vanellope-and-ralph</t>
        </is>
      </c>
    </row>
    <row r="420">
      <c r="A420" t="inlineStr">
        <is>
          <t>PHS-0171</t>
        </is>
      </c>
      <c r="B420" t="n">
        <v>12</v>
      </c>
      <c r="C420" t="inlineStr">
        <is>
          <t>Piglet; Winnie the Pooh</t>
        </is>
      </c>
      <c r="D420" t="inlineStr">
        <is>
          <t>Disney Best Buds: Winnie the Pooh</t>
        </is>
      </c>
      <c r="E420" t="inlineStr"/>
      <c r="F420" t="n">
        <v>2500</v>
      </c>
      <c r="G420" t="inlineStr">
        <is>
          <t>N</t>
        </is>
      </c>
      <c r="H420" t="inlineStr"/>
      <c r="I420" t="inlineStr">
        <is>
          <t>none</t>
        </is>
      </c>
      <c r="J420" t="inlineStr">
        <is>
          <t>candidate</t>
        </is>
      </c>
      <c r="K420" t="inlineStr">
        <is>
          <t>Low</t>
        </is>
      </c>
      <c r="L420" t="inlineStr">
        <is>
          <t>dlr/2023/best-buds-2023/winnie-the-pooh-and-piglet</t>
        </is>
      </c>
    </row>
    <row r="421">
      <c r="A421" t="inlineStr">
        <is>
          <t>PHS-0172</t>
        </is>
      </c>
      <c r="B421" t="n">
        <v>1</v>
      </c>
      <c r="C421" t="inlineStr">
        <is>
          <t>Dale</t>
        </is>
      </c>
      <c r="D421" t="inlineStr">
        <is>
          <t>Dale – Disney Eras (Magic Key exclusive, Disney100)</t>
        </is>
      </c>
      <c r="E421" t="inlineStr"/>
      <c r="F421" t="n">
        <v>3000</v>
      </c>
      <c r="G421" t="inlineStr">
        <is>
          <t>N</t>
        </is>
      </c>
      <c r="H421" t="inlineStr"/>
      <c r="I421" t="inlineStr">
        <is>
          <t>none</t>
        </is>
      </c>
      <c r="J421" t="inlineStr">
        <is>
          <t>candidate</t>
        </is>
      </c>
      <c r="K421" t="inlineStr">
        <is>
          <t>Low</t>
        </is>
      </c>
      <c r="L421" t="inlineStr">
        <is>
          <t>dlr/2023/disney-eras-magic-key-2023/dale</t>
        </is>
      </c>
    </row>
    <row r="422">
      <c r="A422" t="inlineStr">
        <is>
          <t>PHS-0172</t>
        </is>
      </c>
      <c r="B422" t="n">
        <v>2</v>
      </c>
      <c r="C422" t="inlineStr">
        <is>
          <t>Donald Duck</t>
        </is>
      </c>
      <c r="D422" t="inlineStr">
        <is>
          <t>Disney100 Donald Duck Disney Eras Pin - Magic Key 2023</t>
        </is>
      </c>
      <c r="E422" t="inlineStr"/>
      <c r="F422" t="inlineStr"/>
      <c r="G422" t="inlineStr">
        <is>
          <t>N</t>
        </is>
      </c>
      <c r="H422" t="inlineStr"/>
      <c r="I422" t="inlineStr">
        <is>
          <t>none</t>
        </is>
      </c>
      <c r="J422" t="inlineStr">
        <is>
          <t>candidate</t>
        </is>
      </c>
      <c r="K422" t="inlineStr">
        <is>
          <t>Low</t>
        </is>
      </c>
      <c r="L422" t="inlineStr">
        <is>
          <t>dlr/2023/disney-eras-magic-key-2023/donald-duck</t>
        </is>
      </c>
    </row>
    <row r="423">
      <c r="A423" t="inlineStr">
        <is>
          <t>PHS-0172</t>
        </is>
      </c>
      <c r="B423" t="n">
        <v>3</v>
      </c>
      <c r="C423" t="inlineStr">
        <is>
          <t>Mickey Mouse</t>
        </is>
      </c>
      <c r="D423" t="inlineStr">
        <is>
          <t>Disney100 Mickey Mouse Disney Eras Pin - Magic Key 2023</t>
        </is>
      </c>
      <c r="E423" t="inlineStr"/>
      <c r="F423" t="n">
        <v>3000</v>
      </c>
      <c r="G423" t="inlineStr">
        <is>
          <t>N</t>
        </is>
      </c>
      <c r="H423" t="inlineStr"/>
      <c r="I423" t="inlineStr">
        <is>
          <t>none</t>
        </is>
      </c>
      <c r="J423" t="inlineStr">
        <is>
          <t>candidate</t>
        </is>
      </c>
      <c r="K423" t="inlineStr">
        <is>
          <t>Low</t>
        </is>
      </c>
      <c r="L423" t="inlineStr">
        <is>
          <t>dlr/2023/disney-eras-magic-key-2023/mickey-mouse</t>
        </is>
      </c>
    </row>
    <row r="424">
      <c r="A424" t="inlineStr">
        <is>
          <t>PHS-0172</t>
        </is>
      </c>
      <c r="B424" t="n">
        <v>4</v>
      </c>
      <c r="C424" t="inlineStr">
        <is>
          <t>Pluto</t>
        </is>
      </c>
      <c r="D424" t="inlineStr">
        <is>
          <t>Pluto – Disney Eras (Magic Key exclusive, Disney100)</t>
        </is>
      </c>
      <c r="E424" t="inlineStr"/>
      <c r="F424" t="n">
        <v>3000</v>
      </c>
      <c r="G424" t="inlineStr">
        <is>
          <t>N</t>
        </is>
      </c>
      <c r="H424" t="inlineStr"/>
      <c r="I424" t="inlineStr">
        <is>
          <t>none</t>
        </is>
      </c>
      <c r="J424" t="inlineStr">
        <is>
          <t>candidate</t>
        </is>
      </c>
      <c r="K424" t="inlineStr">
        <is>
          <t>Low</t>
        </is>
      </c>
      <c r="L424" t="inlineStr">
        <is>
          <t>dlr/2023/disney-eras-magic-key-2023/pluto</t>
        </is>
      </c>
    </row>
    <row r="425">
      <c r="A425" t="inlineStr">
        <is>
          <t>PHS-0173</t>
        </is>
      </c>
      <c r="B425" t="n">
        <v>1</v>
      </c>
      <c r="C425" t="inlineStr">
        <is>
          <t>Alice</t>
        </is>
      </c>
      <c r="D425" t="inlineStr">
        <is>
          <t>Alice – This is My Home (2024)</t>
        </is>
      </c>
      <c r="E425" t="inlineStr"/>
      <c r="F425" t="inlineStr"/>
      <c r="G425" t="inlineStr">
        <is>
          <t>N</t>
        </is>
      </c>
      <c r="H425" t="inlineStr"/>
      <c r="I425" t="inlineStr">
        <is>
          <t>none</t>
        </is>
      </c>
      <c r="J425" t="inlineStr">
        <is>
          <t>candidate</t>
        </is>
      </c>
      <c r="K425" t="inlineStr">
        <is>
          <t>Low</t>
        </is>
      </c>
      <c r="L425" t="inlineStr">
        <is>
          <t>dlr/2024/this-is-my-home-2024/alice</t>
        </is>
      </c>
    </row>
    <row r="426">
      <c r="A426" t="inlineStr">
        <is>
          <t>PHS-0173</t>
        </is>
      </c>
      <c r="B426" t="n">
        <v>2</v>
      </c>
      <c r="C426" t="inlineStr">
        <is>
          <t>Ariel</t>
        </is>
      </c>
      <c r="D426" t="inlineStr">
        <is>
          <t>Ariel – This is My Home (2024)</t>
        </is>
      </c>
      <c r="E426" t="inlineStr"/>
      <c r="F426" t="n">
        <v>2500</v>
      </c>
      <c r="G426" t="inlineStr">
        <is>
          <t>N</t>
        </is>
      </c>
      <c r="H426" t="inlineStr"/>
      <c r="I426" t="inlineStr">
        <is>
          <t>none</t>
        </is>
      </c>
      <c r="J426" t="inlineStr">
        <is>
          <t>candidate</t>
        </is>
      </c>
      <c r="K426" t="inlineStr">
        <is>
          <t>Medium</t>
        </is>
      </c>
      <c r="L426" t="inlineStr">
        <is>
          <t>dlr/2024/this-is-my-home-2024/ariel</t>
        </is>
      </c>
    </row>
    <row r="427">
      <c r="A427" t="inlineStr">
        <is>
          <t>PHS-0173</t>
        </is>
      </c>
      <c r="B427" t="n">
        <v>3</v>
      </c>
      <c r="C427" t="inlineStr">
        <is>
          <t>Aurora</t>
        </is>
      </c>
      <c r="D427" t="inlineStr">
        <is>
          <t>Aurora – This is My Home (2024)</t>
        </is>
      </c>
      <c r="E427" t="inlineStr"/>
      <c r="F427" t="n">
        <v>2500</v>
      </c>
      <c r="G427" t="inlineStr">
        <is>
          <t>N</t>
        </is>
      </c>
      <c r="H427" t="inlineStr"/>
      <c r="I427" t="inlineStr">
        <is>
          <t>none</t>
        </is>
      </c>
      <c r="J427" t="inlineStr">
        <is>
          <t>candidate</t>
        </is>
      </c>
      <c r="K427" t="inlineStr">
        <is>
          <t>Medium</t>
        </is>
      </c>
      <c r="L427" t="inlineStr">
        <is>
          <t>dlr/2024/this-is-my-home-2024/aurora</t>
        </is>
      </c>
    </row>
    <row r="428">
      <c r="A428" t="inlineStr">
        <is>
          <t>PHS-0173</t>
        </is>
      </c>
      <c r="B428" t="n">
        <v>4</v>
      </c>
      <c r="C428" t="inlineStr">
        <is>
          <t>Cinderella</t>
        </is>
      </c>
      <c r="D428" t="inlineStr">
        <is>
          <t>Cinderella – This is My Home (2024)</t>
        </is>
      </c>
      <c r="E428" t="inlineStr"/>
      <c r="F428" t="n">
        <v>2500</v>
      </c>
      <c r="G428" t="inlineStr">
        <is>
          <t>N</t>
        </is>
      </c>
      <c r="H428" t="inlineStr"/>
      <c r="I428" t="inlineStr">
        <is>
          <t>none</t>
        </is>
      </c>
      <c r="J428" t="inlineStr">
        <is>
          <t>candidate</t>
        </is>
      </c>
      <c r="K428" t="inlineStr">
        <is>
          <t>Medium</t>
        </is>
      </c>
      <c r="L428" t="inlineStr">
        <is>
          <t>dlr/2024/this-is-my-home-2024/cinderella</t>
        </is>
      </c>
    </row>
    <row r="429">
      <c r="A429" t="inlineStr">
        <is>
          <t>PHS-0173</t>
        </is>
      </c>
      <c r="B429" t="n">
        <v>5</v>
      </c>
      <c r="C429" t="inlineStr">
        <is>
          <t>Jasmine</t>
        </is>
      </c>
      <c r="D429" t="inlineStr">
        <is>
          <t>Jasmine – This is My Home (2024)</t>
        </is>
      </c>
      <c r="E429" t="inlineStr"/>
      <c r="F429" t="n">
        <v>2500</v>
      </c>
      <c r="G429" t="inlineStr">
        <is>
          <t>N</t>
        </is>
      </c>
      <c r="H429" t="inlineStr"/>
      <c r="I429" t="inlineStr">
        <is>
          <t>none</t>
        </is>
      </c>
      <c r="J429" t="inlineStr">
        <is>
          <t>candidate</t>
        </is>
      </c>
      <c r="K429" t="inlineStr">
        <is>
          <t>Low</t>
        </is>
      </c>
      <c r="L429" t="inlineStr">
        <is>
          <t>dlr/2024/this-is-my-home-2024/jasmine</t>
        </is>
      </c>
    </row>
    <row r="430">
      <c r="A430" t="inlineStr">
        <is>
          <t>PHS-0173</t>
        </is>
      </c>
      <c r="B430" t="n">
        <v>6</v>
      </c>
      <c r="C430" t="inlineStr">
        <is>
          <t>Merida</t>
        </is>
      </c>
      <c r="D430" t="inlineStr">
        <is>
          <t>Merida – This is My Home (2024)</t>
        </is>
      </c>
      <c r="E430" t="inlineStr"/>
      <c r="F430" t="inlineStr"/>
      <c r="G430" t="inlineStr">
        <is>
          <t>N</t>
        </is>
      </c>
      <c r="H430" t="inlineStr"/>
      <c r="I430" t="inlineStr">
        <is>
          <t>none</t>
        </is>
      </c>
      <c r="J430" t="inlineStr">
        <is>
          <t>candidate</t>
        </is>
      </c>
      <c r="K430" t="inlineStr">
        <is>
          <t>Low</t>
        </is>
      </c>
      <c r="L430" t="inlineStr">
        <is>
          <t>dlr/2024/this-is-my-home-2024/merida</t>
        </is>
      </c>
    </row>
    <row r="431">
      <c r="A431" t="inlineStr">
        <is>
          <t>PHS-0173</t>
        </is>
      </c>
      <c r="B431" t="n">
        <v>7</v>
      </c>
      <c r="C431" t="inlineStr">
        <is>
          <t>Moana</t>
        </is>
      </c>
      <c r="D431" t="inlineStr">
        <is>
          <t>Moana – This is My Home (2024)</t>
        </is>
      </c>
      <c r="E431" t="inlineStr"/>
      <c r="F431" t="inlineStr"/>
      <c r="G431" t="inlineStr">
        <is>
          <t>N</t>
        </is>
      </c>
      <c r="H431" t="inlineStr"/>
      <c r="I431" t="inlineStr">
        <is>
          <t>none</t>
        </is>
      </c>
      <c r="J431" t="inlineStr">
        <is>
          <t>candidate</t>
        </is>
      </c>
      <c r="K431" t="inlineStr">
        <is>
          <t>Low</t>
        </is>
      </c>
      <c r="L431" t="inlineStr">
        <is>
          <t>dlr/2024/this-is-my-home-2024/moana</t>
        </is>
      </c>
    </row>
    <row r="432">
      <c r="A432" t="inlineStr">
        <is>
          <t>PHS-0173</t>
        </is>
      </c>
      <c r="B432" t="n">
        <v>8</v>
      </c>
      <c r="C432" t="inlineStr">
        <is>
          <t>Mulan</t>
        </is>
      </c>
      <c r="D432" t="inlineStr">
        <is>
          <t>Mulan – This is My Home (2024)</t>
        </is>
      </c>
      <c r="E432" t="inlineStr"/>
      <c r="F432" t="n">
        <v>2500</v>
      </c>
      <c r="G432" t="inlineStr">
        <is>
          <t>N</t>
        </is>
      </c>
      <c r="H432" t="inlineStr"/>
      <c r="I432" t="inlineStr">
        <is>
          <t>none</t>
        </is>
      </c>
      <c r="J432" t="inlineStr">
        <is>
          <t>candidate</t>
        </is>
      </c>
      <c r="K432" t="inlineStr">
        <is>
          <t>Medium</t>
        </is>
      </c>
      <c r="L432" t="inlineStr">
        <is>
          <t>dlr/2024/this-is-my-home-2024/mulan</t>
        </is>
      </c>
    </row>
    <row r="433">
      <c r="A433" t="inlineStr">
        <is>
          <t>PHS-0173</t>
        </is>
      </c>
      <c r="B433" t="n">
        <v>9</v>
      </c>
      <c r="C433" t="inlineStr">
        <is>
          <t>Pocahontas</t>
        </is>
      </c>
      <c r="D433" t="inlineStr">
        <is>
          <t>Pocahontas – This is My Home (2024)</t>
        </is>
      </c>
      <c r="E433" t="inlineStr"/>
      <c r="F433" t="inlineStr"/>
      <c r="G433" t="inlineStr">
        <is>
          <t>N</t>
        </is>
      </c>
      <c r="H433" t="inlineStr"/>
      <c r="I433" t="inlineStr">
        <is>
          <t>none</t>
        </is>
      </c>
      <c r="J433" t="inlineStr">
        <is>
          <t>candidate</t>
        </is>
      </c>
      <c r="K433" t="inlineStr">
        <is>
          <t>Low</t>
        </is>
      </c>
      <c r="L433" t="inlineStr">
        <is>
          <t>dlr/2024/this-is-my-home-2024/pocahontas</t>
        </is>
      </c>
    </row>
    <row r="434">
      <c r="A434" t="inlineStr">
        <is>
          <t>PHS-0173</t>
        </is>
      </c>
      <c r="B434" t="n">
        <v>10</v>
      </c>
      <c r="C434" t="inlineStr">
        <is>
          <t>Rapunzel</t>
        </is>
      </c>
      <c r="D434" t="inlineStr">
        <is>
          <t>Rapunzel – This is My Home (2024)</t>
        </is>
      </c>
      <c r="E434" t="inlineStr"/>
      <c r="F434" t="n">
        <v>2500</v>
      </c>
      <c r="G434" t="inlineStr">
        <is>
          <t>N</t>
        </is>
      </c>
      <c r="H434" t="inlineStr"/>
      <c r="I434" t="inlineStr">
        <is>
          <t>none</t>
        </is>
      </c>
      <c r="J434" t="inlineStr">
        <is>
          <t>candidate</t>
        </is>
      </c>
      <c r="K434" t="inlineStr">
        <is>
          <t>Medium</t>
        </is>
      </c>
      <c r="L434" t="inlineStr">
        <is>
          <t>dlr/2024/this-is-my-home-2024/rapunzel</t>
        </is>
      </c>
    </row>
    <row r="435">
      <c r="A435" t="inlineStr">
        <is>
          <t>PHS-0173</t>
        </is>
      </c>
      <c r="B435" t="n">
        <v>11</v>
      </c>
      <c r="C435" t="inlineStr">
        <is>
          <t>Snow White</t>
        </is>
      </c>
      <c r="D435" t="inlineStr">
        <is>
          <t>Snow White – This is My Home (2024)</t>
        </is>
      </c>
      <c r="E435" t="inlineStr"/>
      <c r="F435" t="inlineStr"/>
      <c r="G435" t="inlineStr">
        <is>
          <t>N</t>
        </is>
      </c>
      <c r="H435" t="inlineStr"/>
      <c r="I435" t="inlineStr">
        <is>
          <t>none</t>
        </is>
      </c>
      <c r="J435" t="inlineStr">
        <is>
          <t>candidate</t>
        </is>
      </c>
      <c r="K435" t="inlineStr">
        <is>
          <t>Low</t>
        </is>
      </c>
      <c r="L435" t="inlineStr">
        <is>
          <t>dlr/2024/this-is-my-home-2024/snow-white</t>
        </is>
      </c>
    </row>
    <row r="436">
      <c r="A436" t="inlineStr">
        <is>
          <t>PHS-0173</t>
        </is>
      </c>
      <c r="B436" t="n">
        <v>12</v>
      </c>
      <c r="C436" t="inlineStr">
        <is>
          <t>Tiana</t>
        </is>
      </c>
      <c r="D436" t="inlineStr">
        <is>
          <t>Tiana – This is My Home (2024)</t>
        </is>
      </c>
      <c r="E436" t="inlineStr"/>
      <c r="F436" t="n">
        <v>2500</v>
      </c>
      <c r="G436" t="inlineStr">
        <is>
          <t>N</t>
        </is>
      </c>
      <c r="H436" t="inlineStr"/>
      <c r="I436" t="inlineStr">
        <is>
          <t>none</t>
        </is>
      </c>
      <c r="J436" t="inlineStr">
        <is>
          <t>candidate</t>
        </is>
      </c>
      <c r="K436" t="inlineStr">
        <is>
          <t>Medium</t>
        </is>
      </c>
      <c r="L436" t="inlineStr">
        <is>
          <t>dlr/2024/this-is-my-home-2024/tiana</t>
        </is>
      </c>
    </row>
    <row r="437">
      <c r="A437" t="inlineStr">
        <is>
          <t>PHS-0174</t>
        </is>
      </c>
      <c r="B437" t="n">
        <v>1</v>
      </c>
      <c r="C437" t="inlineStr">
        <is>
          <t>Donald Duck</t>
        </is>
      </c>
      <c r="D437" t="inlineStr">
        <is>
          <t>Donald Duck – Disneyland 70th Anniversary Vault Collection Pin Set 1</t>
        </is>
      </c>
      <c r="E437" t="inlineStr"/>
      <c r="F437" t="inlineStr"/>
      <c r="G437" t="inlineStr">
        <is>
          <t>N</t>
        </is>
      </c>
      <c r="H437" t="inlineStr"/>
      <c r="I437" t="inlineStr">
        <is>
          <t>none</t>
        </is>
      </c>
      <c r="J437" t="inlineStr">
        <is>
          <t>candidate</t>
        </is>
      </c>
      <c r="K437" t="inlineStr">
        <is>
          <t>Medium</t>
        </is>
      </c>
      <c r="L437" t="inlineStr">
        <is>
          <t>dlr/2025/70th-vault-collection-set-1/donald-duck</t>
        </is>
      </c>
    </row>
    <row r="438">
      <c r="A438" t="inlineStr">
        <is>
          <t>PHS-0174</t>
        </is>
      </c>
      <c r="B438" t="n">
        <v>2</v>
      </c>
      <c r="C438" t="inlineStr">
        <is>
          <t>Dopey</t>
        </is>
      </c>
      <c r="D438" t="inlineStr">
        <is>
          <t>Dopey – Disneyland 70th Anniversary Vault Collection Pin Set 1</t>
        </is>
      </c>
      <c r="E438" t="inlineStr"/>
      <c r="F438" t="inlineStr"/>
      <c r="G438" t="inlineStr">
        <is>
          <t>N</t>
        </is>
      </c>
      <c r="H438" t="inlineStr"/>
      <c r="I438" t="inlineStr">
        <is>
          <t>none</t>
        </is>
      </c>
      <c r="J438" t="inlineStr">
        <is>
          <t>candidate</t>
        </is>
      </c>
      <c r="K438" t="inlineStr">
        <is>
          <t>Medium</t>
        </is>
      </c>
      <c r="L438" t="inlineStr">
        <is>
          <t>dlr/2025/70th-vault-collection-set-1/dopey</t>
        </is>
      </c>
    </row>
    <row r="439">
      <c r="A439" t="inlineStr">
        <is>
          <t>PHS-0174</t>
        </is>
      </c>
      <c r="B439" t="n">
        <v>3</v>
      </c>
      <c r="C439" t="inlineStr">
        <is>
          <t>Goofy</t>
        </is>
      </c>
      <c r="D439" t="inlineStr">
        <is>
          <t>Goofy – Disneyland 70th Anniversary Vault Collection Pin Set 1</t>
        </is>
      </c>
      <c r="E439" t="inlineStr"/>
      <c r="F439" t="inlineStr"/>
      <c r="G439" t="inlineStr">
        <is>
          <t>N</t>
        </is>
      </c>
      <c r="H439" t="inlineStr"/>
      <c r="I439" t="inlineStr">
        <is>
          <t>none</t>
        </is>
      </c>
      <c r="J439" t="inlineStr">
        <is>
          <t>candidate</t>
        </is>
      </c>
      <c r="K439" t="inlineStr">
        <is>
          <t>Medium</t>
        </is>
      </c>
      <c r="L439" t="inlineStr">
        <is>
          <t>dlr/2025/70th-vault-collection-set-1/goofy</t>
        </is>
      </c>
    </row>
    <row r="440">
      <c r="A440" t="inlineStr">
        <is>
          <t>PHS-0174</t>
        </is>
      </c>
      <c r="B440" t="n">
        <v>4</v>
      </c>
      <c r="C440" t="inlineStr">
        <is>
          <t>Snow White</t>
        </is>
      </c>
      <c r="D440" t="inlineStr">
        <is>
          <t>Snow White – Disneyland 70th Anniversary Vault Collection Pin Set 1</t>
        </is>
      </c>
      <c r="E440" t="inlineStr"/>
      <c r="F440" t="inlineStr"/>
      <c r="G440" t="inlineStr">
        <is>
          <t>N</t>
        </is>
      </c>
      <c r="H440" t="inlineStr"/>
      <c r="I440" t="inlineStr">
        <is>
          <t>none</t>
        </is>
      </c>
      <c r="J440" t="inlineStr">
        <is>
          <t>candidate</t>
        </is>
      </c>
      <c r="K440" t="inlineStr">
        <is>
          <t>Medium</t>
        </is>
      </c>
      <c r="L440" t="inlineStr">
        <is>
          <t>dlr/2025/70th-vault-collection-set-1/snow-white</t>
        </is>
      </c>
    </row>
    <row r="441">
      <c r="A441" t="inlineStr">
        <is>
          <t>PHS-0174</t>
        </is>
      </c>
      <c r="B441" t="n">
        <v>5</v>
      </c>
      <c r="C441" t="inlineStr"/>
      <c r="D441" t="inlineStr">
        <is>
          <t>Space Mountain</t>
        </is>
      </c>
      <c r="E441" t="inlineStr"/>
      <c r="F441" t="inlineStr"/>
      <c r="G441" t="inlineStr">
        <is>
          <t>N</t>
        </is>
      </c>
      <c r="H441" t="inlineStr"/>
      <c r="I441" t="inlineStr">
        <is>
          <t>none</t>
        </is>
      </c>
      <c r="J441" t="inlineStr">
        <is>
          <t>candidate</t>
        </is>
      </c>
      <c r="K441" t="inlineStr">
        <is>
          <t>Low</t>
        </is>
      </c>
      <c r="L441" t="inlineStr">
        <is>
          <t>dlr/2025/70th-vault-collection-set-1/space-mountain</t>
        </is>
      </c>
    </row>
    <row r="442">
      <c r="A442" t="inlineStr">
        <is>
          <t>PHS-0175</t>
        </is>
      </c>
      <c r="B442" t="n">
        <v>1</v>
      </c>
      <c r="C442" t="inlineStr">
        <is>
          <t>Alice</t>
        </is>
      </c>
      <c r="D442" t="inlineStr">
        <is>
          <t>Alice – Disneyland 70th Anniversary Vault Collection Pin Set 2</t>
        </is>
      </c>
      <c r="E442" t="inlineStr"/>
      <c r="F442" t="inlineStr"/>
      <c r="G442" t="inlineStr">
        <is>
          <t>N</t>
        </is>
      </c>
      <c r="H442" t="inlineStr"/>
      <c r="I442" t="inlineStr">
        <is>
          <t>none</t>
        </is>
      </c>
      <c r="J442" t="inlineStr">
        <is>
          <t>candidate</t>
        </is>
      </c>
      <c r="K442" t="inlineStr">
        <is>
          <t>High</t>
        </is>
      </c>
      <c r="L442" t="inlineStr">
        <is>
          <t>dlr/2025/70th-vault-collection-set-2/alice</t>
        </is>
      </c>
    </row>
    <row r="443">
      <c r="A443" t="inlineStr">
        <is>
          <t>PHS-0175</t>
        </is>
      </c>
      <c r="B443" t="n">
        <v>2</v>
      </c>
      <c r="C443" t="inlineStr">
        <is>
          <t>Cyril Proudbottom</t>
        </is>
      </c>
      <c r="D443" t="inlineStr">
        <is>
          <t>Cyril Proudbottom – Disneyland 70th Anniversary Vault Collection Pin Set 2</t>
        </is>
      </c>
      <c r="E443" t="inlineStr"/>
      <c r="F443" t="inlineStr"/>
      <c r="G443" t="inlineStr">
        <is>
          <t>N</t>
        </is>
      </c>
      <c r="H443" t="inlineStr"/>
      <c r="I443" t="inlineStr">
        <is>
          <t>none</t>
        </is>
      </c>
      <c r="J443" t="inlineStr">
        <is>
          <t>candidate</t>
        </is>
      </c>
      <c r="K443" t="inlineStr">
        <is>
          <t>Medium</t>
        </is>
      </c>
      <c r="L443" t="inlineStr">
        <is>
          <t>dlr/2025/70th-vault-collection-set-2/cyril-proudbottom</t>
        </is>
      </c>
    </row>
    <row r="444">
      <c r="A444" t="inlineStr">
        <is>
          <t>PHS-0175</t>
        </is>
      </c>
      <c r="B444" t="n">
        <v>3</v>
      </c>
      <c r="C444" t="inlineStr">
        <is>
          <t>J. Thaddeus Toad; Mr. Toad</t>
        </is>
      </c>
      <c r="D444" t="inlineStr">
        <is>
          <t>J. Thaddeus Toad &amp; Mr. Toad – Disneyland 70th Anniversary Vault Collection Pin Set 2</t>
        </is>
      </c>
      <c r="E444" t="inlineStr"/>
      <c r="F444" t="inlineStr"/>
      <c r="G444" t="inlineStr">
        <is>
          <t>N</t>
        </is>
      </c>
      <c r="H444" t="inlineStr"/>
      <c r="I444" t="inlineStr">
        <is>
          <t>none</t>
        </is>
      </c>
      <c r="J444" t="inlineStr">
        <is>
          <t>candidate</t>
        </is>
      </c>
      <c r="K444" t="inlineStr">
        <is>
          <t>High</t>
        </is>
      </c>
      <c r="L444" t="inlineStr">
        <is>
          <t>dlr/2025/70th-vault-collection-set-2/j-thaddeus-toad</t>
        </is>
      </c>
    </row>
    <row r="445">
      <c r="A445" t="inlineStr">
        <is>
          <t>PHS-0175</t>
        </is>
      </c>
      <c r="B445" t="n">
        <v>4</v>
      </c>
      <c r="C445" t="inlineStr">
        <is>
          <t>Mad Hatter</t>
        </is>
      </c>
      <c r="D445" t="inlineStr">
        <is>
          <t>Mad Hatter – Disneyland 70th Anniversary Vault Collection Pin Set 2</t>
        </is>
      </c>
      <c r="E445" t="inlineStr"/>
      <c r="F445" t="inlineStr"/>
      <c r="G445" t="inlineStr">
        <is>
          <t>N</t>
        </is>
      </c>
      <c r="H445" t="inlineStr"/>
      <c r="I445" t="inlineStr">
        <is>
          <t>none</t>
        </is>
      </c>
      <c r="J445" t="inlineStr">
        <is>
          <t>candidate</t>
        </is>
      </c>
      <c r="K445" t="inlineStr">
        <is>
          <t>High</t>
        </is>
      </c>
      <c r="L445" t="inlineStr">
        <is>
          <t>dlr/2025/70th-vault-collection-set-2/mad-hatter</t>
        </is>
      </c>
    </row>
    <row r="446">
      <c r="A446" t="inlineStr">
        <is>
          <t>PHS-0175</t>
        </is>
      </c>
      <c r="B446" t="n">
        <v>5</v>
      </c>
      <c r="C446" t="inlineStr"/>
      <c r="D446" t="inlineStr">
        <is>
          <t>Matterhorn Bobsleds large pin</t>
        </is>
      </c>
      <c r="E446" t="inlineStr"/>
      <c r="F446" t="inlineStr"/>
      <c r="G446" t="inlineStr">
        <is>
          <t>N</t>
        </is>
      </c>
      <c r="H446" t="inlineStr"/>
      <c r="I446" t="inlineStr">
        <is>
          <t>none</t>
        </is>
      </c>
      <c r="J446" t="inlineStr">
        <is>
          <t>candidate</t>
        </is>
      </c>
      <c r="K446" t="inlineStr">
        <is>
          <t>High</t>
        </is>
      </c>
      <c r="L446" t="inlineStr">
        <is>
          <t>dlr/2025/70th-vault-collection-set-2/matterhorn-bobsleds</t>
        </is>
      </c>
    </row>
    <row r="447">
      <c r="A447" t="inlineStr">
        <is>
          <t>PHS-0176</t>
        </is>
      </c>
      <c r="B447" t="n">
        <v>1</v>
      </c>
      <c r="C447" t="inlineStr">
        <is>
          <t>Donald Duck</t>
        </is>
      </c>
      <c r="D447" t="inlineStr">
        <is>
          <t>Donald Duck – Disneyland Art Corner Pin Set</t>
        </is>
      </c>
      <c r="E447" t="inlineStr"/>
      <c r="F447" t="inlineStr"/>
      <c r="G447" t="inlineStr">
        <is>
          <t>N</t>
        </is>
      </c>
      <c r="H447" t="inlineStr"/>
      <c r="I447" t="inlineStr">
        <is>
          <t>none</t>
        </is>
      </c>
      <c r="J447" t="inlineStr">
        <is>
          <t>candidate</t>
        </is>
      </c>
      <c r="K447" t="inlineStr">
        <is>
          <t>Low</t>
        </is>
      </c>
      <c r="L447" t="inlineStr">
        <is>
          <t>dlr/2025/niftie-fifties-art-corner-set/donald-duck</t>
        </is>
      </c>
    </row>
    <row r="448">
      <c r="A448" t="inlineStr">
        <is>
          <t>PHS-0177</t>
        </is>
      </c>
      <c r="B448" t="n">
        <v>1</v>
      </c>
      <c r="C448" t="inlineStr"/>
      <c r="D448" t="inlineStr">
        <is>
          <t>King Arthur Carrousel Windows of Attraction Pin</t>
        </is>
      </c>
      <c r="E448" t="inlineStr"/>
      <c r="F448" t="n">
        <v>1250</v>
      </c>
      <c r="G448" t="inlineStr">
        <is>
          <t>N</t>
        </is>
      </c>
      <c r="H448" t="inlineStr"/>
      <c r="I448" t="inlineStr">
        <is>
          <t>none</t>
        </is>
      </c>
      <c r="J448" t="inlineStr">
        <is>
          <t>candidate</t>
        </is>
      </c>
      <c r="K448" t="inlineStr">
        <is>
          <t>Low</t>
        </is>
      </c>
      <c r="L448" t="inlineStr">
        <is>
          <t>dlr/2025/windows-of-attraction-2025-disney-store-completers/king-arthur-carrousel</t>
        </is>
      </c>
    </row>
    <row r="449">
      <c r="A449" t="inlineStr">
        <is>
          <t>PHS-0177</t>
        </is>
      </c>
      <c r="B449" t="n">
        <v>2</v>
      </c>
      <c r="C449" t="inlineStr"/>
      <c r="D449" t="inlineStr">
        <is>
          <t>Sleeping Beauty Castle Windows of Attraction Pin</t>
        </is>
      </c>
      <c r="E449" t="inlineStr"/>
      <c r="F449" t="n">
        <v>1250</v>
      </c>
      <c r="G449" t="inlineStr">
        <is>
          <t>N</t>
        </is>
      </c>
      <c r="H449" t="inlineStr"/>
      <c r="I449" t="inlineStr">
        <is>
          <t>none</t>
        </is>
      </c>
      <c r="J449" t="inlineStr">
        <is>
          <t>candidate</t>
        </is>
      </c>
      <c r="K449" t="inlineStr">
        <is>
          <t>Low</t>
        </is>
      </c>
      <c r="L449" t="inlineStr">
        <is>
          <t>dlr/2025/windows-of-attraction-2025-disney-store-completers/sleeping-beauty-castle</t>
        </is>
      </c>
    </row>
    <row r="450">
      <c r="A450" t="inlineStr">
        <is>
          <t>PHS-0177</t>
        </is>
      </c>
      <c r="B450" t="n">
        <v>3</v>
      </c>
      <c r="C450" t="inlineStr"/>
      <c r="D450" t="inlineStr">
        <is>
          <t>Space Mountain Pin, Disney Windows of Attraction, Limited Edition</t>
        </is>
      </c>
      <c r="E450" t="inlineStr"/>
      <c r="F450" t="n">
        <v>1250</v>
      </c>
      <c r="G450" t="inlineStr">
        <is>
          <t>N</t>
        </is>
      </c>
      <c r="H450" t="inlineStr"/>
      <c r="I450" t="inlineStr">
        <is>
          <t>none</t>
        </is>
      </c>
      <c r="J450" t="inlineStr">
        <is>
          <t>candidate</t>
        </is>
      </c>
      <c r="K450" t="inlineStr">
        <is>
          <t>High</t>
        </is>
      </c>
      <c r="L450" t="inlineStr">
        <is>
          <t>dlr/2025/windows-of-attraction-2025-disney-store-completers/space-mountain</t>
        </is>
      </c>
    </row>
    <row r="451">
      <c r="A451" t="inlineStr">
        <is>
          <t>PHS-0177</t>
        </is>
      </c>
      <c r="B451" t="n">
        <v>4</v>
      </c>
      <c r="C451" t="inlineStr">
        <is>
          <t>RX-24 (Captain Rex)</t>
        </is>
      </c>
      <c r="D451" t="inlineStr">
        <is>
          <t>Star Tours Limited Edition Pin, Disney Windows of Attraction</t>
        </is>
      </c>
      <c r="E451" t="inlineStr"/>
      <c r="F451" t="n">
        <v>1150</v>
      </c>
      <c r="G451" t="inlineStr">
        <is>
          <t>N</t>
        </is>
      </c>
      <c r="H451" t="inlineStr"/>
      <c r="I451" t="inlineStr">
        <is>
          <t>none</t>
        </is>
      </c>
      <c r="J451" t="inlineStr">
        <is>
          <t>candidate</t>
        </is>
      </c>
      <c r="K451" t="inlineStr">
        <is>
          <t>High</t>
        </is>
      </c>
      <c r="L451" t="inlineStr">
        <is>
          <t>dlr/2025/windows-of-attraction-2025-disney-store-completers/star-tours</t>
        </is>
      </c>
    </row>
    <row r="452">
      <c r="A452" t="inlineStr">
        <is>
          <t>PHS-0178</t>
        </is>
      </c>
      <c r="B452" t="n">
        <v>1</v>
      </c>
      <c r="C452" t="inlineStr"/>
      <c r="D452" t="inlineStr">
        <is>
          <t>20,000 Leagues Under the Sea - Walt's Magical Moments Pin</t>
        </is>
      </c>
      <c r="E452" t="inlineStr"/>
      <c r="F452" t="n">
        <v>2500</v>
      </c>
      <c r="G452" t="inlineStr">
        <is>
          <t>N</t>
        </is>
      </c>
      <c r="H452" t="inlineStr"/>
      <c r="I452" t="inlineStr">
        <is>
          <t>none</t>
        </is>
      </c>
      <c r="J452" t="inlineStr">
        <is>
          <t>candidate</t>
        </is>
      </c>
      <c r="K452" t="inlineStr">
        <is>
          <t>Medium</t>
        </is>
      </c>
      <c r="L452" t="inlineStr">
        <is>
          <t>dlr/2026/walts-magical-moments-2026/20-000-leagues-under-the-sea</t>
        </is>
      </c>
    </row>
    <row r="453">
      <c r="A453" t="inlineStr">
        <is>
          <t>PHS-0178</t>
        </is>
      </c>
      <c r="B453" t="n">
        <v>2</v>
      </c>
      <c r="C453" t="inlineStr"/>
      <c r="D453" t="inlineStr">
        <is>
          <t>Enchanted Tiki Room - Walt's Magical Moments Pin</t>
        </is>
      </c>
      <c r="E453" t="inlineStr"/>
      <c r="F453" t="n">
        <v>2500</v>
      </c>
      <c r="G453" t="inlineStr">
        <is>
          <t>N</t>
        </is>
      </c>
      <c r="H453" t="inlineStr"/>
      <c r="I453" t="inlineStr">
        <is>
          <t>none</t>
        </is>
      </c>
      <c r="J453" t="inlineStr">
        <is>
          <t>candidate</t>
        </is>
      </c>
      <c r="K453" t="inlineStr">
        <is>
          <t>Low</t>
        </is>
      </c>
      <c r="L453" t="inlineStr">
        <is>
          <t>dlr/2026/walts-magical-moments-2026/enchanted-tiki-room</t>
        </is>
      </c>
    </row>
    <row r="454">
      <c r="A454" t="inlineStr">
        <is>
          <t>PHS-0178</t>
        </is>
      </c>
      <c r="B454" t="n">
        <v>3</v>
      </c>
      <c r="C454" t="inlineStr"/>
      <c r="D454" t="inlineStr">
        <is>
          <t>Experimental Prototype Community of Tomorrow - Walt's Magical Moments Pin</t>
        </is>
      </c>
      <c r="E454" t="inlineStr"/>
      <c r="F454" t="n">
        <v>2500</v>
      </c>
      <c r="G454" t="inlineStr">
        <is>
          <t>N</t>
        </is>
      </c>
      <c r="H454" t="inlineStr"/>
      <c r="I454" t="inlineStr">
        <is>
          <t>none</t>
        </is>
      </c>
      <c r="J454" t="inlineStr">
        <is>
          <t>candidate</t>
        </is>
      </c>
      <c r="K454" t="inlineStr">
        <is>
          <t>Low</t>
        </is>
      </c>
      <c r="L454" t="inlineStr">
        <is>
          <t>dlr/2026/walts-magical-moments-2026/experimental-prototype-community-of-tomorrow</t>
        </is>
      </c>
    </row>
    <row r="455">
      <c r="A455" t="inlineStr">
        <is>
          <t>PHS-0178</t>
        </is>
      </c>
      <c r="B455" t="n">
        <v>4</v>
      </c>
      <c r="C455" t="inlineStr"/>
      <c r="D455" t="inlineStr">
        <is>
          <t>Mickey Ear Hat - Walt's Magical Moments Pin</t>
        </is>
      </c>
      <c r="E455" t="inlineStr"/>
      <c r="F455" t="n">
        <v>2500</v>
      </c>
      <c r="G455" t="inlineStr">
        <is>
          <t>N</t>
        </is>
      </c>
      <c r="H455" t="inlineStr"/>
      <c r="I455" t="inlineStr">
        <is>
          <t>none</t>
        </is>
      </c>
      <c r="J455" t="inlineStr">
        <is>
          <t>candidate</t>
        </is>
      </c>
      <c r="K455" t="inlineStr">
        <is>
          <t>Low</t>
        </is>
      </c>
      <c r="L455" t="inlineStr">
        <is>
          <t>dlr/2026/walts-magical-moments-2026/mickey-ear-hat</t>
        </is>
      </c>
    </row>
    <row r="456">
      <c r="A456" t="inlineStr">
        <is>
          <t>PHS-0178</t>
        </is>
      </c>
      <c r="B456" t="n">
        <v>5</v>
      </c>
      <c r="C456" t="inlineStr"/>
      <c r="D456" t="inlineStr">
        <is>
          <t>Sleeping Beauty Castle - Walt's Magical Moments Pin</t>
        </is>
      </c>
      <c r="E456" t="inlineStr"/>
      <c r="F456" t="n">
        <v>2500</v>
      </c>
      <c r="G456" t="inlineStr">
        <is>
          <t>N</t>
        </is>
      </c>
      <c r="H456" t="inlineStr"/>
      <c r="I456" t="inlineStr">
        <is>
          <t>none</t>
        </is>
      </c>
      <c r="J456" t="inlineStr">
        <is>
          <t>candidate</t>
        </is>
      </c>
      <c r="K456" t="inlineStr">
        <is>
          <t>Medium</t>
        </is>
      </c>
      <c r="L456" t="inlineStr">
        <is>
          <t>dlr/2026/walts-magical-moments-2026/sleeping-beauty-castle</t>
        </is>
      </c>
    </row>
    <row r="457">
      <c r="A457" t="inlineStr">
        <is>
          <t>PHS-0178</t>
        </is>
      </c>
      <c r="B457" t="n">
        <v>6</v>
      </c>
      <c r="C457" t="inlineStr">
        <is>
          <t>Snow White</t>
        </is>
      </c>
      <c r="D457" t="inlineStr">
        <is>
          <t>Snow White - Walt's Magical Moments Pin</t>
        </is>
      </c>
      <c r="E457" t="inlineStr"/>
      <c r="F457" t="n">
        <v>2500</v>
      </c>
      <c r="G457" t="inlineStr">
        <is>
          <t>N</t>
        </is>
      </c>
      <c r="H457" t="inlineStr"/>
      <c r="I457" t="inlineStr">
        <is>
          <t>none</t>
        </is>
      </c>
      <c r="J457" t="inlineStr">
        <is>
          <t>candidate</t>
        </is>
      </c>
      <c r="K457" t="inlineStr">
        <is>
          <t>Medium</t>
        </is>
      </c>
      <c r="L457" t="inlineStr">
        <is>
          <t>dlr/2026/walts-magical-moments-2026/snow-white</t>
        </is>
      </c>
    </row>
    <row r="458">
      <c r="A458" t="inlineStr">
        <is>
          <t>PHS-0178</t>
        </is>
      </c>
      <c r="B458" t="n">
        <v>7</v>
      </c>
      <c r="C458" t="inlineStr">
        <is>
          <t>Mickey Mouse; Walt Disney</t>
        </is>
      </c>
      <c r="D458" t="inlineStr">
        <is>
          <t>Steamboat Willie - Walt's Magical Moments Pin</t>
        </is>
      </c>
      <c r="E458" t="inlineStr"/>
      <c r="F458" t="n">
        <v>2500</v>
      </c>
      <c r="G458" t="inlineStr">
        <is>
          <t>N</t>
        </is>
      </c>
      <c r="H458" t="inlineStr"/>
      <c r="I458" t="inlineStr">
        <is>
          <t>none</t>
        </is>
      </c>
      <c r="J458" t="inlineStr">
        <is>
          <t>candidate</t>
        </is>
      </c>
      <c r="K458" t="inlineStr">
        <is>
          <t>Medium</t>
        </is>
      </c>
      <c r="L458" t="inlineStr">
        <is>
          <t>dlr/2026/walts-magical-moments-2026/steamboat-willie</t>
        </is>
      </c>
    </row>
    <row r="459">
      <c r="A459" t="inlineStr">
        <is>
          <t>PHS-0179</t>
        </is>
      </c>
      <c r="B459" t="n">
        <v>1</v>
      </c>
      <c r="C459" t="inlineStr"/>
      <c r="D459" t="inlineStr">
        <is>
          <t>Walt Disney Disneyland Dedication Speech Pin</t>
        </is>
      </c>
      <c r="E459" t="inlineStr"/>
      <c r="F459" t="inlineStr"/>
      <c r="G459" t="inlineStr">
        <is>
          <t>N</t>
        </is>
      </c>
      <c r="H459" t="inlineStr"/>
      <c r="I459" t="inlineStr">
        <is>
          <t>none</t>
        </is>
      </c>
      <c r="J459" t="inlineStr">
        <is>
          <t>candidate</t>
        </is>
      </c>
      <c r="K459" t="inlineStr">
        <is>
          <t>High</t>
        </is>
      </c>
      <c r="L459" t="inlineStr">
        <is>
          <t>dlr/2026/walts-magical-moments-2026-disney-store-completers/disneyland-dedication-speech</t>
        </is>
      </c>
    </row>
    <row r="460">
      <c r="A460" t="inlineStr">
        <is>
          <t>PHS-0179</t>
        </is>
      </c>
      <c r="B460" t="n">
        <v>2</v>
      </c>
      <c r="C460" t="inlineStr"/>
      <c r="D460" t="inlineStr">
        <is>
          <t>Walt Disney Feed the Birds Limited Edition Pin, Walt's Magical Moments</t>
        </is>
      </c>
      <c r="E460" t="inlineStr"/>
      <c r="F460" t="n">
        <v>3000</v>
      </c>
      <c r="G460" t="inlineStr">
        <is>
          <t>N</t>
        </is>
      </c>
      <c r="H460" t="inlineStr"/>
      <c r="I460" t="inlineStr">
        <is>
          <t>none</t>
        </is>
      </c>
      <c r="J460" t="inlineStr">
        <is>
          <t>candidate</t>
        </is>
      </c>
      <c r="K460" t="inlineStr">
        <is>
          <t>High</t>
        </is>
      </c>
      <c r="L460" t="inlineStr">
        <is>
          <t>dlr/2026/walts-magical-moments-2026-disney-store-completers/feed-the-birds</t>
        </is>
      </c>
    </row>
    <row r="461">
      <c r="A461" t="inlineStr">
        <is>
          <t>PHS-0179</t>
        </is>
      </c>
      <c r="B461" t="n">
        <v>3</v>
      </c>
      <c r="C461" t="inlineStr"/>
      <c r="D461" t="inlineStr">
        <is>
          <t>Walt Disney Flowers and Trees Pin - Walt's Magical Moments - Limited Edition</t>
        </is>
      </c>
      <c r="E461" t="inlineStr"/>
      <c r="F461" t="inlineStr"/>
      <c r="G461" t="inlineStr">
        <is>
          <t>N</t>
        </is>
      </c>
      <c r="H461" t="inlineStr"/>
      <c r="I461" t="inlineStr">
        <is>
          <t>none</t>
        </is>
      </c>
      <c r="J461" t="inlineStr">
        <is>
          <t>candidate</t>
        </is>
      </c>
      <c r="K461" t="inlineStr">
        <is>
          <t>High</t>
        </is>
      </c>
      <c r="L461" t="inlineStr">
        <is>
          <t>dlr/2026/walts-magical-moments-2026-disney-store-completers/flowers-and-trees</t>
        </is>
      </c>
    </row>
    <row r="462">
      <c r="A462" t="inlineStr">
        <is>
          <t>PHS-0180</t>
        </is>
      </c>
      <c r="B462" t="n">
        <v>1</v>
      </c>
      <c r="C462" t="inlineStr">
        <is>
          <t>Tinker Bell</t>
        </is>
      </c>
      <c r="D462" t="inlineStr">
        <is>
          <t>Tinker Bell – Disney100 Tinker Bell Limited Edition Pin</t>
        </is>
      </c>
      <c r="E462" t="inlineStr"/>
      <c r="F462" t="n">
        <v>5000</v>
      </c>
      <c r="G462" t="inlineStr">
        <is>
          <t>N</t>
        </is>
      </c>
      <c r="H462" t="inlineStr"/>
      <c r="I462" t="inlineStr">
        <is>
          <t>none</t>
        </is>
      </c>
      <c r="J462" t="inlineStr">
        <is>
          <t>candidate</t>
        </is>
      </c>
      <c r="K462" t="inlineStr">
        <is>
          <t>Low</t>
        </is>
      </c>
      <c r="L462" t="inlineStr">
        <is>
          <t>dlr/2023/disney100-tinker-bell-le/tinker-bell</t>
        </is>
      </c>
    </row>
    <row r="463">
      <c r="A463" t="inlineStr">
        <is>
          <t>PHS-0181</t>
        </is>
      </c>
      <c r="B463" t="n">
        <v>1</v>
      </c>
      <c r="C463" t="inlineStr">
        <is>
          <t>Cheshire Cat</t>
        </is>
      </c>
      <c r="D463" t="inlineStr">
        <is>
          <t>Cheshire Cat – Disneyland Parades (2024)</t>
        </is>
      </c>
      <c r="E463" t="inlineStr"/>
      <c r="F463" t="n">
        <v>2500</v>
      </c>
      <c r="G463" t="inlineStr">
        <is>
          <t>N</t>
        </is>
      </c>
      <c r="H463" t="inlineStr"/>
      <c r="I463" t="inlineStr">
        <is>
          <t>none</t>
        </is>
      </c>
      <c r="J463" t="inlineStr">
        <is>
          <t>candidate</t>
        </is>
      </c>
      <c r="K463" t="inlineStr">
        <is>
          <t>Medium</t>
        </is>
      </c>
      <c r="L463" t="inlineStr">
        <is>
          <t>dlr/2024/disneyland-parades-2024/alice-in-wonderland</t>
        </is>
      </c>
    </row>
    <row r="464">
      <c r="A464" t="inlineStr">
        <is>
          <t>PHS-0181</t>
        </is>
      </c>
      <c r="B464" t="n">
        <v>2</v>
      </c>
      <c r="C464" t="inlineStr"/>
      <c r="D464" t="inlineStr">
        <is>
          <t>Big Thunder Mountain Railroad Disneyland Resort Fantasy Parade Limited Edition Pin</t>
        </is>
      </c>
      <c r="E464" t="inlineStr"/>
      <c r="F464" t="inlineStr"/>
      <c r="G464" t="inlineStr">
        <is>
          <t>N</t>
        </is>
      </c>
      <c r="H464" t="inlineStr"/>
      <c r="I464" t="inlineStr">
        <is>
          <t>none</t>
        </is>
      </c>
      <c r="J464" t="inlineStr">
        <is>
          <t>candidate</t>
        </is>
      </c>
      <c r="K464" t="inlineStr">
        <is>
          <t>High</t>
        </is>
      </c>
      <c r="L464" t="inlineStr">
        <is>
          <t>dlr/2024/disneyland-parades-2024/big-thunder-mountain-railroad</t>
        </is>
      </c>
    </row>
    <row r="465">
      <c r="A465" t="inlineStr">
        <is>
          <t>PHS-0181</t>
        </is>
      </c>
      <c r="B465" t="n">
        <v>3</v>
      </c>
      <c r="C465" t="inlineStr"/>
      <c r="D465" t="inlineStr">
        <is>
          <t>Buzz Lightyear Astro Blasters – Disneyland Parades (2024)</t>
        </is>
      </c>
      <c r="E465" t="inlineStr"/>
      <c r="F465" t="inlineStr"/>
      <c r="G465" t="inlineStr">
        <is>
          <t>N</t>
        </is>
      </c>
      <c r="H465" t="inlineStr"/>
      <c r="I465" t="inlineStr">
        <is>
          <t>none</t>
        </is>
      </c>
      <c r="J465" t="inlineStr">
        <is>
          <t>candidate</t>
        </is>
      </c>
      <c r="K465" t="inlineStr">
        <is>
          <t>Low</t>
        </is>
      </c>
      <c r="L465" t="inlineStr">
        <is>
          <t>dlr/2024/disneyland-parades-2024/buzz-lightyear-astro-blasters</t>
        </is>
      </c>
    </row>
    <row r="466">
      <c r="A466" t="inlineStr">
        <is>
          <t>PHS-0181</t>
        </is>
      </c>
      <c r="B466" t="n">
        <v>4</v>
      </c>
      <c r="C466" t="inlineStr"/>
      <c r="D466" t="inlineStr">
        <is>
          <t>Chip n Dale's Gadget Coaster – Disneyland Parades (2024)</t>
        </is>
      </c>
      <c r="E466" t="inlineStr"/>
      <c r="F466" t="inlineStr"/>
      <c r="G466" t="inlineStr">
        <is>
          <t>N</t>
        </is>
      </c>
      <c r="H466" t="inlineStr"/>
      <c r="I466" t="inlineStr">
        <is>
          <t>none</t>
        </is>
      </c>
      <c r="J466" t="inlineStr">
        <is>
          <t>candidate</t>
        </is>
      </c>
      <c r="K466" t="inlineStr">
        <is>
          <t>Low</t>
        </is>
      </c>
      <c r="L466" t="inlineStr">
        <is>
          <t>dlr/2024/disneyland-parades-2024/chip-n-dale-s-gadget-coaster</t>
        </is>
      </c>
    </row>
    <row r="467">
      <c r="A467" t="inlineStr">
        <is>
          <t>PHS-0181</t>
        </is>
      </c>
      <c r="B467" t="n">
        <v>5</v>
      </c>
      <c r="C467" t="inlineStr"/>
      <c r="D467" t="inlineStr">
        <is>
          <t>Enchanted Tiki Room 'Fantasy Parades' Pin</t>
        </is>
      </c>
      <c r="E467" t="inlineStr"/>
      <c r="F467" t="n">
        <v>3000</v>
      </c>
      <c r="G467" t="inlineStr">
        <is>
          <t>N</t>
        </is>
      </c>
      <c r="H467" t="inlineStr"/>
      <c r="I467" t="inlineStr">
        <is>
          <t>none</t>
        </is>
      </c>
      <c r="J467" t="inlineStr">
        <is>
          <t>candidate</t>
        </is>
      </c>
      <c r="K467" t="inlineStr">
        <is>
          <t>Medium</t>
        </is>
      </c>
      <c r="L467" t="inlineStr">
        <is>
          <t>dlr/2024/disneyland-parades-2024/enchanted-tiki-room</t>
        </is>
      </c>
    </row>
    <row r="468">
      <c r="A468" t="inlineStr">
        <is>
          <t>PHS-0181</t>
        </is>
      </c>
      <c r="B468" t="n">
        <v>6</v>
      </c>
      <c r="C468" t="inlineStr"/>
      <c r="D468" t="inlineStr">
        <is>
          <t>Jungle Cruise – Disneyland Parades (2024)</t>
        </is>
      </c>
      <c r="E468" t="inlineStr"/>
      <c r="F468" t="inlineStr"/>
      <c r="G468" t="inlineStr">
        <is>
          <t>N</t>
        </is>
      </c>
      <c r="H468" t="inlineStr"/>
      <c r="I468" t="inlineStr">
        <is>
          <t>none</t>
        </is>
      </c>
      <c r="J468" t="inlineStr">
        <is>
          <t>candidate</t>
        </is>
      </c>
      <c r="K468" t="inlineStr">
        <is>
          <t>Low</t>
        </is>
      </c>
      <c r="L468" t="inlineStr">
        <is>
          <t>dlr/2024/disneyland-parades-2024/jungle-cruise</t>
        </is>
      </c>
    </row>
    <row r="469">
      <c r="A469" t="inlineStr">
        <is>
          <t>PHS-0181</t>
        </is>
      </c>
      <c r="B469" t="n">
        <v>7</v>
      </c>
      <c r="C469" t="inlineStr"/>
      <c r="D469" t="inlineStr">
        <is>
          <t>Matterhorn – Disneyland Parades (2024)</t>
        </is>
      </c>
      <c r="E469" t="inlineStr"/>
      <c r="F469" t="inlineStr"/>
      <c r="G469" t="inlineStr">
        <is>
          <t>N</t>
        </is>
      </c>
      <c r="H469" t="inlineStr"/>
      <c r="I469" t="inlineStr">
        <is>
          <t>none</t>
        </is>
      </c>
      <c r="J469" t="inlineStr">
        <is>
          <t>candidate</t>
        </is>
      </c>
      <c r="K469" t="inlineStr">
        <is>
          <t>Low</t>
        </is>
      </c>
      <c r="L469" t="inlineStr">
        <is>
          <t>dlr/2024/disneyland-parades-2024/matterhorn</t>
        </is>
      </c>
    </row>
    <row r="470">
      <c r="A470" t="inlineStr">
        <is>
          <t>PHS-0181</t>
        </is>
      </c>
      <c r="B470" t="n">
        <v>8</v>
      </c>
      <c r="C470" t="inlineStr"/>
      <c r="D470" t="inlineStr">
        <is>
          <t>Mickey &amp; Minnie's Runaway Railway – Disneyland Parades (2024)</t>
        </is>
      </c>
      <c r="E470" t="inlineStr"/>
      <c r="F470" t="inlineStr"/>
      <c r="G470" t="inlineStr">
        <is>
          <t>N</t>
        </is>
      </c>
      <c r="H470" t="inlineStr"/>
      <c r="I470" t="inlineStr">
        <is>
          <t>none</t>
        </is>
      </c>
      <c r="J470" t="inlineStr">
        <is>
          <t>candidate</t>
        </is>
      </c>
      <c r="K470" t="inlineStr">
        <is>
          <t>Low</t>
        </is>
      </c>
      <c r="L470" t="inlineStr">
        <is>
          <t>dlr/2024/disneyland-parades-2024/mickey-minnie-s-runaway-railway</t>
        </is>
      </c>
    </row>
    <row r="471">
      <c r="A471" t="inlineStr">
        <is>
          <t>PHS-0181</t>
        </is>
      </c>
      <c r="B471" t="n">
        <v>9</v>
      </c>
      <c r="C471" t="inlineStr">
        <is>
          <t>Mr. Toad</t>
        </is>
      </c>
      <c r="D471" t="inlineStr">
        <is>
          <t>Mr. Toad – Disneyland Parades (2024)</t>
        </is>
      </c>
      <c r="E471" t="inlineStr"/>
      <c r="F471" t="n">
        <v>2500</v>
      </c>
      <c r="G471" t="inlineStr">
        <is>
          <t>N</t>
        </is>
      </c>
      <c r="H471" t="inlineStr"/>
      <c r="I471" t="inlineStr">
        <is>
          <t>none</t>
        </is>
      </c>
      <c r="J471" t="inlineStr">
        <is>
          <t>candidate</t>
        </is>
      </c>
      <c r="K471" t="inlineStr">
        <is>
          <t>Medium</t>
        </is>
      </c>
      <c r="L471" t="inlineStr">
        <is>
          <t>dlr/2024/disneyland-parades-2024/mr-toad-s-wild-ride</t>
        </is>
      </c>
    </row>
    <row r="472">
      <c r="A472" t="inlineStr">
        <is>
          <t>PHS-0181</t>
        </is>
      </c>
      <c r="B472" t="n">
        <v>10</v>
      </c>
      <c r="C472" t="inlineStr"/>
      <c r="D472" t="inlineStr">
        <is>
          <t>Peter Pan's Flight – Disneyland Parades (2024)</t>
        </is>
      </c>
      <c r="E472" t="inlineStr"/>
      <c r="F472" t="inlineStr"/>
      <c r="G472" t="inlineStr">
        <is>
          <t>N</t>
        </is>
      </c>
      <c r="H472" t="inlineStr"/>
      <c r="I472" t="inlineStr">
        <is>
          <t>none</t>
        </is>
      </c>
      <c r="J472" t="inlineStr">
        <is>
          <t>candidate</t>
        </is>
      </c>
      <c r="K472" t="inlineStr">
        <is>
          <t>Low</t>
        </is>
      </c>
      <c r="L472" t="inlineStr">
        <is>
          <t>dlr/2024/disneyland-parades-2024/peter-pan-s-flight</t>
        </is>
      </c>
    </row>
    <row r="473">
      <c r="A473" t="inlineStr">
        <is>
          <t>PHS-0181</t>
        </is>
      </c>
      <c r="B473" t="n">
        <v>11</v>
      </c>
      <c r="C473" t="inlineStr"/>
      <c r="D473" t="inlineStr">
        <is>
          <t>Pinocchio's Daring Journey – Disneyland Parades (2024)</t>
        </is>
      </c>
      <c r="E473" t="inlineStr"/>
      <c r="F473" t="inlineStr"/>
      <c r="G473" t="inlineStr">
        <is>
          <t>N</t>
        </is>
      </c>
      <c r="H473" t="inlineStr"/>
      <c r="I473" t="inlineStr">
        <is>
          <t>none</t>
        </is>
      </c>
      <c r="J473" t="inlineStr">
        <is>
          <t>candidate</t>
        </is>
      </c>
      <c r="K473" t="inlineStr">
        <is>
          <t>Low</t>
        </is>
      </c>
      <c r="L473" t="inlineStr">
        <is>
          <t>dlr/2024/disneyland-parades-2024/pinocchio-s-daring-journey</t>
        </is>
      </c>
    </row>
    <row r="474">
      <c r="A474" t="inlineStr">
        <is>
          <t>PHS-0181</t>
        </is>
      </c>
      <c r="B474" t="n">
        <v>12</v>
      </c>
      <c r="C474" t="inlineStr">
        <is>
          <t>Hatbox Ghost</t>
        </is>
      </c>
      <c r="D474" t="inlineStr">
        <is>
          <t>Hatbox Ghost Disneyland Parade Pin, The Haunted Mansion</t>
        </is>
      </c>
      <c r="E474" t="inlineStr"/>
      <c r="F474" t="n">
        <v>3000</v>
      </c>
      <c r="G474" t="inlineStr">
        <is>
          <t>N</t>
        </is>
      </c>
      <c r="H474" t="inlineStr"/>
      <c r="I474" t="inlineStr">
        <is>
          <t>none</t>
        </is>
      </c>
      <c r="J474" t="inlineStr">
        <is>
          <t>candidate</t>
        </is>
      </c>
      <c r="K474" t="inlineStr">
        <is>
          <t>Medium</t>
        </is>
      </c>
      <c r="L474" t="inlineStr">
        <is>
          <t>dlr/2024/disneyland-parades-2024/the-haunted-mansion</t>
        </is>
      </c>
    </row>
    <row r="475">
      <c r="A475" t="inlineStr">
        <is>
          <t>PHS-0182</t>
        </is>
      </c>
      <c r="B475" t="n">
        <v>1</v>
      </c>
      <c r="C475" t="inlineStr">
        <is>
          <t>Aladdin</t>
        </is>
      </c>
      <c r="D475" t="inlineStr">
        <is>
          <t>Aladdin – Pin Trading Night June 2024 (Disneyland Hotel)</t>
        </is>
      </c>
      <c r="E475" t="inlineStr"/>
      <c r="F475" t="n">
        <v>500</v>
      </c>
      <c r="G475" t="inlineStr">
        <is>
          <t>N</t>
        </is>
      </c>
      <c r="H475" t="inlineStr"/>
      <c r="I475" t="inlineStr">
        <is>
          <t>none</t>
        </is>
      </c>
      <c r="J475" t="inlineStr">
        <is>
          <t>candidate</t>
        </is>
      </c>
      <c r="K475" t="inlineStr">
        <is>
          <t>Low</t>
        </is>
      </c>
      <c r="L475" t="inlineStr">
        <is>
          <t>dlr/2024/pin-trading-night-june-2024/aladdin</t>
        </is>
      </c>
    </row>
    <row r="476">
      <c r="A476" t="inlineStr">
        <is>
          <t>PHS-0183</t>
        </is>
      </c>
      <c r="B476" t="n">
        <v>1</v>
      </c>
      <c r="C476" t="inlineStr"/>
      <c r="D476" t="inlineStr">
        <is>
          <t>Disneyland 70th Anniversary Jumbo Pin</t>
        </is>
      </c>
      <c r="E476" t="inlineStr"/>
      <c r="F476" t="n">
        <v>1500</v>
      </c>
      <c r="G476" t="inlineStr">
        <is>
          <t>N</t>
        </is>
      </c>
      <c r="H476" t="inlineStr"/>
      <c r="I476" t="inlineStr">
        <is>
          <t>none</t>
        </is>
      </c>
      <c r="J476" t="inlineStr">
        <is>
          <t>candidate</t>
        </is>
      </c>
      <c r="K476" t="inlineStr">
        <is>
          <t>Low</t>
        </is>
      </c>
      <c r="L476" t="inlineStr">
        <is>
          <t>dlr/2024/d23-2024-70th-anniversary-jumbo/disneyland-70th-anniversary</t>
        </is>
      </c>
    </row>
    <row r="477">
      <c r="A477" t="inlineStr">
        <is>
          <t>PHS-0184</t>
        </is>
      </c>
      <c r="B477" t="n">
        <v>1</v>
      </c>
      <c r="C477" t="inlineStr"/>
      <c r="D477" t="inlineStr">
        <is>
          <t>Alice in Wonderland Windows of Attraction Pin</t>
        </is>
      </c>
      <c r="E477" t="inlineStr"/>
      <c r="F477" t="n">
        <v>2500</v>
      </c>
      <c r="G477" t="inlineStr">
        <is>
          <t>N</t>
        </is>
      </c>
      <c r="H477" t="inlineStr"/>
      <c r="I477" t="inlineStr">
        <is>
          <t>none</t>
        </is>
      </c>
      <c r="J477" t="inlineStr">
        <is>
          <t>candidate</t>
        </is>
      </c>
      <c r="K477" t="inlineStr">
        <is>
          <t>Low</t>
        </is>
      </c>
      <c r="L477" t="inlineStr">
        <is>
          <t>dlr/2025/windows-of-attraction-2025/alice-in-wonderland</t>
        </is>
      </c>
    </row>
    <row r="478">
      <c r="A478" t="inlineStr">
        <is>
          <t>PHS-0184</t>
        </is>
      </c>
      <c r="B478" t="n">
        <v>2</v>
      </c>
      <c r="C478" t="inlineStr"/>
      <c r="D478" t="inlineStr">
        <is>
          <t>Big Thunder Mountain Railroad Windows of Attraction Pin</t>
        </is>
      </c>
      <c r="E478" t="inlineStr"/>
      <c r="F478" t="inlineStr"/>
      <c r="G478" t="inlineStr">
        <is>
          <t>N</t>
        </is>
      </c>
      <c r="H478" t="inlineStr"/>
      <c r="I478" t="inlineStr">
        <is>
          <t>none</t>
        </is>
      </c>
      <c r="J478" t="inlineStr">
        <is>
          <t>candidate</t>
        </is>
      </c>
      <c r="K478" t="inlineStr">
        <is>
          <t>Medium</t>
        </is>
      </c>
      <c r="L478" t="inlineStr">
        <is>
          <t>dlr/2025/windows-of-attraction-2025/big-thunder-mountain-railroad</t>
        </is>
      </c>
    </row>
    <row r="479">
      <c r="A479" t="inlineStr">
        <is>
          <t>PHS-0184</t>
        </is>
      </c>
      <c r="B479" t="n">
        <v>3</v>
      </c>
      <c r="C479" t="inlineStr"/>
      <c r="D479" t="inlineStr">
        <is>
          <t>Disneyland Railroad Windows of Attraction Pin</t>
        </is>
      </c>
      <c r="E479" t="inlineStr"/>
      <c r="F479" t="inlineStr"/>
      <c r="G479" t="inlineStr">
        <is>
          <t>N</t>
        </is>
      </c>
      <c r="H479" t="inlineStr"/>
      <c r="I479" t="inlineStr">
        <is>
          <t>none</t>
        </is>
      </c>
      <c r="J479" t="inlineStr">
        <is>
          <t>candidate</t>
        </is>
      </c>
      <c r="K479" t="inlineStr">
        <is>
          <t>Low</t>
        </is>
      </c>
      <c r="L479" t="inlineStr">
        <is>
          <t>dlr/2025/windows-of-attraction-2025/disneyland-railroad</t>
        </is>
      </c>
    </row>
    <row r="480">
      <c r="A480" t="inlineStr">
        <is>
          <t>PHS-0184</t>
        </is>
      </c>
      <c r="B480" t="n">
        <v>4</v>
      </c>
      <c r="C480" t="inlineStr"/>
      <c r="D480" t="inlineStr">
        <is>
          <t>Dumbo the Flying Elephant Windows of Attraction Pin</t>
        </is>
      </c>
      <c r="E480" t="inlineStr"/>
      <c r="F480" t="n">
        <v>2500</v>
      </c>
      <c r="G480" t="inlineStr">
        <is>
          <t>N</t>
        </is>
      </c>
      <c r="H480" t="inlineStr"/>
      <c r="I480" t="inlineStr">
        <is>
          <t>none</t>
        </is>
      </c>
      <c r="J480" t="inlineStr">
        <is>
          <t>candidate</t>
        </is>
      </c>
      <c r="K480" t="inlineStr">
        <is>
          <t>Low</t>
        </is>
      </c>
      <c r="L480" t="inlineStr">
        <is>
          <t>dlr/2025/windows-of-attraction-2025/dumbo-the-flying-elephant</t>
        </is>
      </c>
    </row>
    <row r="481">
      <c r="A481" t="inlineStr">
        <is>
          <t>PHS-0184</t>
        </is>
      </c>
      <c r="B481" t="n">
        <v>5</v>
      </c>
      <c r="C481" t="inlineStr"/>
      <c r="D481" t="inlineStr">
        <is>
          <t>it's a small world Windows of Attraction Pin</t>
        </is>
      </c>
      <c r="E481" t="inlineStr"/>
      <c r="F481" t="n">
        <v>2500</v>
      </c>
      <c r="G481" t="inlineStr">
        <is>
          <t>N</t>
        </is>
      </c>
      <c r="H481" t="inlineStr"/>
      <c r="I481" t="inlineStr">
        <is>
          <t>none</t>
        </is>
      </c>
      <c r="J481" t="inlineStr">
        <is>
          <t>candidate</t>
        </is>
      </c>
      <c r="K481" t="inlineStr">
        <is>
          <t>Medium</t>
        </is>
      </c>
      <c r="L481" t="inlineStr">
        <is>
          <t>dlr/2025/windows-of-attraction-2025/it-s-a-small-world</t>
        </is>
      </c>
    </row>
    <row r="482">
      <c r="A482" t="inlineStr">
        <is>
          <t>PHS-0184</t>
        </is>
      </c>
      <c r="B482" t="n">
        <v>6</v>
      </c>
      <c r="C482" t="inlineStr"/>
      <c r="D482" t="inlineStr">
        <is>
          <t>Jungle Cruise Windows of Attraction Pin</t>
        </is>
      </c>
      <c r="E482" t="inlineStr"/>
      <c r="F482" t="n">
        <v>2500</v>
      </c>
      <c r="G482" t="inlineStr">
        <is>
          <t>N</t>
        </is>
      </c>
      <c r="H482" t="inlineStr"/>
      <c r="I482" t="inlineStr">
        <is>
          <t>none</t>
        </is>
      </c>
      <c r="J482" t="inlineStr">
        <is>
          <t>candidate</t>
        </is>
      </c>
      <c r="K482" t="inlineStr">
        <is>
          <t>Medium</t>
        </is>
      </c>
      <c r="L482" t="inlineStr">
        <is>
          <t>dlr/2025/windows-of-attraction-2025/jungle-cruise</t>
        </is>
      </c>
    </row>
    <row r="483">
      <c r="A483" t="inlineStr">
        <is>
          <t>PHS-0184</t>
        </is>
      </c>
      <c r="B483" t="n">
        <v>7</v>
      </c>
      <c r="C483" t="inlineStr"/>
      <c r="D483" t="inlineStr">
        <is>
          <t>Matterhorn Bobsleds Windows of Attraction Pin</t>
        </is>
      </c>
      <c r="E483" t="inlineStr"/>
      <c r="F483" t="inlineStr"/>
      <c r="G483" t="inlineStr">
        <is>
          <t>N</t>
        </is>
      </c>
      <c r="H483" t="inlineStr"/>
      <c r="I483" t="inlineStr">
        <is>
          <t>none</t>
        </is>
      </c>
      <c r="J483" t="inlineStr">
        <is>
          <t>candidate</t>
        </is>
      </c>
      <c r="K483" t="inlineStr">
        <is>
          <t>Low</t>
        </is>
      </c>
      <c r="L483" t="inlineStr">
        <is>
          <t>dlr/2025/windows-of-attraction-2025/matterhorn-bobsleds</t>
        </is>
      </c>
    </row>
    <row r="484">
      <c r="A484" t="inlineStr">
        <is>
          <t>PHS-0184</t>
        </is>
      </c>
      <c r="B484" t="n">
        <v>8</v>
      </c>
      <c r="C484" t="inlineStr"/>
      <c r="D484" t="inlineStr">
        <is>
          <t>Mr. Toad's Wild Ride Windows of Attraction Pin</t>
        </is>
      </c>
      <c r="E484" t="inlineStr"/>
      <c r="F484" t="n">
        <v>2500</v>
      </c>
      <c r="G484" t="inlineStr">
        <is>
          <t>N</t>
        </is>
      </c>
      <c r="H484" t="inlineStr"/>
      <c r="I484" t="inlineStr">
        <is>
          <t>none</t>
        </is>
      </c>
      <c r="J484" t="inlineStr">
        <is>
          <t>candidate</t>
        </is>
      </c>
      <c r="K484" t="inlineStr">
        <is>
          <t>Medium</t>
        </is>
      </c>
      <c r="L484" t="inlineStr">
        <is>
          <t>dlr/2025/windows-of-attraction-2025/mr-toad-s-wild-ride</t>
        </is>
      </c>
    </row>
    <row r="485">
      <c r="A485" t="inlineStr">
        <is>
          <t>PHS-0184</t>
        </is>
      </c>
      <c r="B485" t="n">
        <v>9</v>
      </c>
      <c r="C485" t="inlineStr"/>
      <c r="D485" t="inlineStr">
        <is>
          <t>Peter Pan's Flight Windows of Attraction Pin</t>
        </is>
      </c>
      <c r="E485" t="inlineStr"/>
      <c r="F485" t="n">
        <v>2500</v>
      </c>
      <c r="G485" t="inlineStr">
        <is>
          <t>N</t>
        </is>
      </c>
      <c r="H485" t="inlineStr"/>
      <c r="I485" t="inlineStr">
        <is>
          <t>none</t>
        </is>
      </c>
      <c r="J485" t="inlineStr">
        <is>
          <t>candidate</t>
        </is>
      </c>
      <c r="K485" t="inlineStr">
        <is>
          <t>Low</t>
        </is>
      </c>
      <c r="L485" t="inlineStr">
        <is>
          <t>dlr/2025/windows-of-attraction-2025/peter-pan-s-flight</t>
        </is>
      </c>
    </row>
    <row r="486">
      <c r="A486" t="inlineStr">
        <is>
          <t>PHS-0184</t>
        </is>
      </c>
      <c r="B486" t="n">
        <v>10</v>
      </c>
      <c r="C486" t="inlineStr">
        <is>
          <t>Barker Bird</t>
        </is>
      </c>
      <c r="D486" t="inlineStr">
        <is>
          <t>Pirates of the Caribbean Windows of Attraction Pin</t>
        </is>
      </c>
      <c r="E486" t="inlineStr"/>
      <c r="F486" t="n">
        <v>2500</v>
      </c>
      <c r="G486" t="inlineStr">
        <is>
          <t>N</t>
        </is>
      </c>
      <c r="H486" t="inlineStr"/>
      <c r="I486" t="inlineStr">
        <is>
          <t>none</t>
        </is>
      </c>
      <c r="J486" t="inlineStr">
        <is>
          <t>candidate</t>
        </is>
      </c>
      <c r="K486" t="inlineStr">
        <is>
          <t>Medium</t>
        </is>
      </c>
      <c r="L486" t="inlineStr">
        <is>
          <t>dlr/2025/windows-of-attraction-2025/pirates-of-the-caribbean</t>
        </is>
      </c>
    </row>
    <row r="487">
      <c r="A487" t="inlineStr">
        <is>
          <t>PHS-0184</t>
        </is>
      </c>
      <c r="B487" t="n">
        <v>11</v>
      </c>
      <c r="C487" t="inlineStr"/>
      <c r="D487" t="inlineStr">
        <is>
          <t>The Haunted Mansion Windows of Attraction Pin</t>
        </is>
      </c>
      <c r="E487" t="inlineStr"/>
      <c r="F487" t="n">
        <v>2500</v>
      </c>
      <c r="G487" t="inlineStr">
        <is>
          <t>N</t>
        </is>
      </c>
      <c r="H487" t="inlineStr"/>
      <c r="I487" t="inlineStr">
        <is>
          <t>none</t>
        </is>
      </c>
      <c r="J487" t="inlineStr">
        <is>
          <t>candidate</t>
        </is>
      </c>
      <c r="K487" t="inlineStr">
        <is>
          <t>Medium</t>
        </is>
      </c>
      <c r="L487" t="inlineStr">
        <is>
          <t>dlr/2025/windows-of-attraction-2025/the-haunted-mansion</t>
        </is>
      </c>
    </row>
    <row r="488">
      <c r="A488" t="inlineStr">
        <is>
          <t>PHS-0184</t>
        </is>
      </c>
      <c r="B488" t="n">
        <v>12</v>
      </c>
      <c r="C488" t="inlineStr"/>
      <c r="D488" t="inlineStr">
        <is>
          <t>Walt Disney's Enchanted Tiki Room Windows of Attraction Pin</t>
        </is>
      </c>
      <c r="E488" t="inlineStr"/>
      <c r="F488" t="inlineStr"/>
      <c r="G488" t="inlineStr">
        <is>
          <t>N</t>
        </is>
      </c>
      <c r="H488" t="inlineStr"/>
      <c r="I488" t="inlineStr">
        <is>
          <t>none</t>
        </is>
      </c>
      <c r="J488" t="inlineStr">
        <is>
          <t>candidate</t>
        </is>
      </c>
      <c r="K488" t="inlineStr">
        <is>
          <t>Medium</t>
        </is>
      </c>
      <c r="L488" t="inlineStr">
        <is>
          <t>dlr/2025/windows-of-attraction-2025/walt-disney-s-enchanted-tiki-room</t>
        </is>
      </c>
    </row>
    <row r="489">
      <c r="A489" t="inlineStr">
        <is>
          <t>PHS-0185</t>
        </is>
      </c>
      <c r="B489" t="n">
        <v>1</v>
      </c>
      <c r="C489" t="inlineStr">
        <is>
          <t>Mickey Mouse</t>
        </is>
      </c>
      <c r="D489" t="inlineStr">
        <is>
          <t>Jumbo Countdown Pin (Disneyland 70th)</t>
        </is>
      </c>
      <c r="E489" t="inlineStr"/>
      <c r="F489" t="n">
        <v>3000</v>
      </c>
      <c r="G489" t="inlineStr">
        <is>
          <t>N</t>
        </is>
      </c>
      <c r="H489" t="inlineStr"/>
      <c r="I489" t="inlineStr">
        <is>
          <t>none</t>
        </is>
      </c>
      <c r="J489" t="inlineStr">
        <is>
          <t>candidate</t>
        </is>
      </c>
      <c r="K489" t="inlineStr">
        <is>
          <t>Medium</t>
        </is>
      </c>
      <c r="L489" t="inlineStr">
        <is>
          <t>dlr/2025/70th-celebrate-happy-countdown-jumbo/mickey-mouse</t>
        </is>
      </c>
    </row>
    <row r="490">
      <c r="A490" t="inlineStr">
        <is>
          <t>PHS-0186</t>
        </is>
      </c>
      <c r="B490" t="n">
        <v>1</v>
      </c>
      <c r="C490" t="inlineStr">
        <is>
          <t>Tinker Bell</t>
        </is>
      </c>
      <c r="D490" t="inlineStr">
        <is>
          <t>Tinker Bell – Classic Castle Characters</t>
        </is>
      </c>
      <c r="E490" t="inlineStr"/>
      <c r="F490" t="n">
        <v>500</v>
      </c>
      <c r="G490" t="inlineStr">
        <is>
          <t>N</t>
        </is>
      </c>
      <c r="H490" t="inlineStr"/>
      <c r="I490" t="inlineStr">
        <is>
          <t>none</t>
        </is>
      </c>
      <c r="J490" t="inlineStr">
        <is>
          <t>candidate</t>
        </is>
      </c>
      <c r="K490" t="inlineStr">
        <is>
          <t>Low</t>
        </is>
      </c>
      <c r="L490" t="inlineStr">
        <is>
          <t>dlr/2025/niftie-fifties-classic-castle-characters/tinker-bell</t>
        </is>
      </c>
    </row>
    <row r="491">
      <c r="A491" t="inlineStr">
        <is>
          <t>PHS-0187</t>
        </is>
      </c>
      <c r="B491" t="n">
        <v>1</v>
      </c>
      <c r="C491" t="inlineStr">
        <is>
          <t>Mickey Mouse</t>
        </is>
      </c>
      <c r="D491" t="inlineStr">
        <is>
          <t>Mickey Mouse – Disneyland 70th Anniversary Vault Collection Pin Display Frame with Three Pins</t>
        </is>
      </c>
      <c r="E491" t="inlineStr"/>
      <c r="F491" t="inlineStr"/>
      <c r="G491" t="inlineStr">
        <is>
          <t>N</t>
        </is>
      </c>
      <c r="H491" t="inlineStr"/>
      <c r="I491" t="inlineStr">
        <is>
          <t>none</t>
        </is>
      </c>
      <c r="J491" t="inlineStr">
        <is>
          <t>candidate</t>
        </is>
      </c>
      <c r="K491" t="inlineStr">
        <is>
          <t>Medium</t>
        </is>
      </c>
      <c r="L491" t="inlineStr">
        <is>
          <t>dlr/2025/70th-vault-collection-display-frame/mickey-mouse</t>
        </is>
      </c>
    </row>
    <row r="492">
      <c r="A492" t="inlineStr">
        <is>
          <t>PHS-0187</t>
        </is>
      </c>
      <c r="B492" t="n">
        <v>2</v>
      </c>
      <c r="C492" t="inlineStr">
        <is>
          <t>Minnie Mouse</t>
        </is>
      </c>
      <c r="D492" t="inlineStr">
        <is>
          <t>Minnie Mouse – Disneyland 70th Anniversary Vault Collection Pin Display Frame with Three Pins</t>
        </is>
      </c>
      <c r="E492" t="inlineStr"/>
      <c r="F492" t="inlineStr"/>
      <c r="G492" t="inlineStr">
        <is>
          <t>N</t>
        </is>
      </c>
      <c r="H492" t="inlineStr"/>
      <c r="I492" t="inlineStr">
        <is>
          <t>none</t>
        </is>
      </c>
      <c r="J492" t="inlineStr">
        <is>
          <t>candidate</t>
        </is>
      </c>
      <c r="K492" t="inlineStr">
        <is>
          <t>Medium</t>
        </is>
      </c>
      <c r="L492" t="inlineStr">
        <is>
          <t>dlr/2025/70th-vault-collection-display-frame/minnie-mouse</t>
        </is>
      </c>
    </row>
    <row r="493">
      <c r="A493" t="inlineStr">
        <is>
          <t>PHS-0187</t>
        </is>
      </c>
      <c r="B493" t="n">
        <v>3</v>
      </c>
      <c r="C493" t="inlineStr"/>
      <c r="D493" t="inlineStr">
        <is>
          <t>Sleeping Beauty Castle jumbo pin</t>
        </is>
      </c>
      <c r="E493" t="inlineStr"/>
      <c r="F493" t="inlineStr"/>
      <c r="G493" t="inlineStr">
        <is>
          <t>N</t>
        </is>
      </c>
      <c r="H493" t="inlineStr"/>
      <c r="I493" t="inlineStr">
        <is>
          <t>none</t>
        </is>
      </c>
      <c r="J493" t="inlineStr">
        <is>
          <t>candidate</t>
        </is>
      </c>
      <c r="K493" t="inlineStr">
        <is>
          <t>Medium</t>
        </is>
      </c>
      <c r="L493" t="inlineStr">
        <is>
          <t>dlr/2025/70th-vault-collection-display-frame/sleeping-beauty-castle-and-matterhorn</t>
        </is>
      </c>
    </row>
    <row r="494">
      <c r="A494" t="inlineStr">
        <is>
          <t>PHS-0188</t>
        </is>
      </c>
      <c r="B494" t="n">
        <v>1</v>
      </c>
      <c r="C494" t="inlineStr">
        <is>
          <t>Aurora</t>
        </is>
      </c>
      <c r="D494" t="inlineStr">
        <is>
          <t>Aurora – Disneyland 70th Anniversary Aurora Mini Jumbo Pin</t>
        </is>
      </c>
      <c r="E494" t="inlineStr"/>
      <c r="F494" t="n">
        <v>2900</v>
      </c>
      <c r="G494" t="inlineStr">
        <is>
          <t>N</t>
        </is>
      </c>
      <c r="H494" t="inlineStr"/>
      <c r="I494" t="inlineStr">
        <is>
          <t>none</t>
        </is>
      </c>
      <c r="J494" t="inlineStr">
        <is>
          <t>candidate</t>
        </is>
      </c>
      <c r="K494" t="inlineStr">
        <is>
          <t>Medium</t>
        </is>
      </c>
      <c r="L494" t="inlineStr">
        <is>
          <t>dlr/2025/70th-aurora-mini-jumbo/aurora</t>
        </is>
      </c>
    </row>
    <row r="495">
      <c r="A495" t="inlineStr">
        <is>
          <t>PHS-0189</t>
        </is>
      </c>
      <c r="B495" t="n">
        <v>1</v>
      </c>
      <c r="C495" t="inlineStr">
        <is>
          <t>Mickey Mouse</t>
        </is>
      </c>
      <c r="D495" t="inlineStr">
        <is>
          <t>Limited Edition Super Jumbo 70th Anniversary Pin</t>
        </is>
      </c>
      <c r="E495" t="inlineStr"/>
      <c r="F495" t="n">
        <v>250</v>
      </c>
      <c r="G495" t="inlineStr">
        <is>
          <t>N</t>
        </is>
      </c>
      <c r="H495" t="inlineStr"/>
      <c r="I495" t="inlineStr">
        <is>
          <t>none</t>
        </is>
      </c>
      <c r="J495" t="inlineStr">
        <is>
          <t>candidate</t>
        </is>
      </c>
      <c r="K495" t="inlineStr">
        <is>
          <t>Medium</t>
        </is>
      </c>
      <c r="L495" t="inlineStr">
        <is>
          <t>dlr/2025/70th-super-jumbo/mickey-mouse</t>
        </is>
      </c>
    </row>
    <row r="496">
      <c r="A496" t="inlineStr">
        <is>
          <t>PHS-0190</t>
        </is>
      </c>
      <c r="B496" t="n">
        <v>1</v>
      </c>
      <c r="C496" t="inlineStr">
        <is>
          <t>Mickey Mouse; Minnie Mouse</t>
        </is>
      </c>
      <c r="D496" t="inlineStr">
        <is>
          <t>Mickey Mouse &amp; Minnie Mouse – Magic Key Exclusive Halloween Pin 2025</t>
        </is>
      </c>
      <c r="E496" t="inlineStr"/>
      <c r="F496" t="n">
        <v>3000</v>
      </c>
      <c r="G496" t="inlineStr">
        <is>
          <t>N</t>
        </is>
      </c>
      <c r="H496" t="inlineStr"/>
      <c r="I496" t="inlineStr">
        <is>
          <t>none</t>
        </is>
      </c>
      <c r="J496" t="inlineStr">
        <is>
          <t>candidate</t>
        </is>
      </c>
      <c r="K496" t="inlineStr">
        <is>
          <t>Medium</t>
        </is>
      </c>
      <c r="L496" t="inlineStr">
        <is>
          <t>dlr/2025/magic-key-halloween-2025/mickey-and-minnie</t>
        </is>
      </c>
    </row>
    <row r="497">
      <c r="A497" t="inlineStr">
        <is>
          <t>PHS-0191</t>
        </is>
      </c>
      <c r="B497" t="n">
        <v>1</v>
      </c>
      <c r="C497" t="inlineStr"/>
      <c r="D497" t="inlineStr">
        <is>
          <t>Bayou Country (Destinations)</t>
        </is>
      </c>
      <c r="E497" t="inlineStr"/>
      <c r="F497" t="inlineStr"/>
      <c r="G497" t="inlineStr">
        <is>
          <t>N</t>
        </is>
      </c>
      <c r="H497" t="inlineStr"/>
      <c r="I497" t="inlineStr">
        <is>
          <t>none</t>
        </is>
      </c>
      <c r="J497" t="inlineStr">
        <is>
          <t>candidate</t>
        </is>
      </c>
      <c r="K497" t="inlineStr">
        <is>
          <t>Medium</t>
        </is>
      </c>
      <c r="L497" t="inlineStr">
        <is>
          <t>dlr/2025/d23-70th-destinations-pin-set/bayou-country</t>
        </is>
      </c>
    </row>
    <row r="498">
      <c r="A498" t="inlineStr">
        <is>
          <t>PHS-0191</t>
        </is>
      </c>
      <c r="B498" t="n">
        <v>2</v>
      </c>
      <c r="C498" t="inlineStr"/>
      <c r="D498" t="inlineStr">
        <is>
          <t>Grizzly Peak (Destinations)</t>
        </is>
      </c>
      <c r="E498" t="inlineStr"/>
      <c r="F498" t="inlineStr"/>
      <c r="G498" t="inlineStr">
        <is>
          <t>N</t>
        </is>
      </c>
      <c r="H498" t="inlineStr"/>
      <c r="I498" t="inlineStr">
        <is>
          <t>none</t>
        </is>
      </c>
      <c r="J498" t="inlineStr">
        <is>
          <t>candidate</t>
        </is>
      </c>
      <c r="K498" t="inlineStr">
        <is>
          <t>Medium</t>
        </is>
      </c>
      <c r="L498" t="inlineStr">
        <is>
          <t>dlr/2025/d23-70th-destinations-pin-set/grizzly-peak</t>
        </is>
      </c>
    </row>
    <row r="499">
      <c r="A499" t="inlineStr">
        <is>
          <t>PHS-0191</t>
        </is>
      </c>
      <c r="B499" t="n">
        <v>3</v>
      </c>
      <c r="C499" t="inlineStr"/>
      <c r="D499" t="inlineStr">
        <is>
          <t>it's a small world (Destinations)</t>
        </is>
      </c>
      <c r="E499" t="inlineStr"/>
      <c r="F499" t="inlineStr"/>
      <c r="G499" t="inlineStr">
        <is>
          <t>N</t>
        </is>
      </c>
      <c r="H499" t="inlineStr"/>
      <c r="I499" t="inlineStr">
        <is>
          <t>none</t>
        </is>
      </c>
      <c r="J499" t="inlineStr">
        <is>
          <t>candidate</t>
        </is>
      </c>
      <c r="K499" t="inlineStr">
        <is>
          <t>Medium</t>
        </is>
      </c>
      <c r="L499" t="inlineStr">
        <is>
          <t>dlr/2025/d23-70th-destinations-pin-set/it-s-a-small-world</t>
        </is>
      </c>
    </row>
    <row r="500">
      <c r="A500" t="inlineStr">
        <is>
          <t>PHS-0191</t>
        </is>
      </c>
      <c r="B500" t="n">
        <v>4</v>
      </c>
      <c r="C500" t="inlineStr"/>
      <c r="D500" t="inlineStr">
        <is>
          <t>Pixar Pier (Destinations)</t>
        </is>
      </c>
      <c r="E500" t="inlineStr"/>
      <c r="F500" t="inlineStr"/>
      <c r="G500" t="inlineStr">
        <is>
          <t>N</t>
        </is>
      </c>
      <c r="H500" t="inlineStr"/>
      <c r="I500" t="inlineStr">
        <is>
          <t>none</t>
        </is>
      </c>
      <c r="J500" t="inlineStr">
        <is>
          <t>candidate</t>
        </is>
      </c>
      <c r="K500" t="inlineStr">
        <is>
          <t>Medium</t>
        </is>
      </c>
      <c r="L500" t="inlineStr">
        <is>
          <t>dlr/2025/d23-70th-destinations-pin-set/pixar-pier</t>
        </is>
      </c>
    </row>
    <row r="501">
      <c r="A501" t="inlineStr">
        <is>
          <t>PHS-0191</t>
        </is>
      </c>
      <c r="B501" t="n">
        <v>5</v>
      </c>
      <c r="C501" t="inlineStr"/>
      <c r="D501" t="inlineStr">
        <is>
          <t>Sleeping Beauty Castle (Destinations)</t>
        </is>
      </c>
      <c r="E501" t="inlineStr"/>
      <c r="F501" t="inlineStr"/>
      <c r="G501" t="inlineStr">
        <is>
          <t>N</t>
        </is>
      </c>
      <c r="H501" t="inlineStr"/>
      <c r="I501" t="inlineStr">
        <is>
          <t>none</t>
        </is>
      </c>
      <c r="J501" t="inlineStr">
        <is>
          <t>candidate</t>
        </is>
      </c>
      <c r="K501" t="inlineStr">
        <is>
          <t>Medium</t>
        </is>
      </c>
      <c r="L501" t="inlineStr">
        <is>
          <t>dlr/2025/d23-70th-destinations-pin-set/sleeping-beauty-castle</t>
        </is>
      </c>
    </row>
    <row r="502">
      <c r="A502" t="inlineStr">
        <is>
          <t>PHS-0192</t>
        </is>
      </c>
      <c r="B502" t="n">
        <v>1</v>
      </c>
      <c r="C502" t="inlineStr"/>
      <c r="D502" t="inlineStr">
        <is>
          <t>Disneyland 10th Anniversary logo</t>
        </is>
      </c>
      <c r="E502" t="inlineStr"/>
      <c r="F502" t="inlineStr"/>
      <c r="G502" t="inlineStr">
        <is>
          <t>N</t>
        </is>
      </c>
      <c r="H502" t="inlineStr"/>
      <c r="I502" t="inlineStr">
        <is>
          <t>none</t>
        </is>
      </c>
      <c r="J502" t="inlineStr">
        <is>
          <t>candidate</t>
        </is>
      </c>
      <c r="K502" t="inlineStr">
        <is>
          <t>Medium</t>
        </is>
      </c>
      <c r="L502" t="inlineStr">
        <is>
          <t>dlr/2025/d23-70th-legacy-pin-set/10th-anniversary</t>
        </is>
      </c>
    </row>
    <row r="503">
      <c r="A503" t="inlineStr">
        <is>
          <t>PHS-0192</t>
        </is>
      </c>
      <c r="B503" t="n">
        <v>2</v>
      </c>
      <c r="C503" t="inlineStr"/>
      <c r="D503" t="inlineStr">
        <is>
          <t>Disneyland 25th Anniversary logo</t>
        </is>
      </c>
      <c r="E503" t="inlineStr"/>
      <c r="F503" t="inlineStr"/>
      <c r="G503" t="inlineStr">
        <is>
          <t>N</t>
        </is>
      </c>
      <c r="H503" t="inlineStr"/>
      <c r="I503" t="inlineStr">
        <is>
          <t>none</t>
        </is>
      </c>
      <c r="J503" t="inlineStr">
        <is>
          <t>candidate</t>
        </is>
      </c>
      <c r="K503" t="inlineStr">
        <is>
          <t>Medium</t>
        </is>
      </c>
      <c r="L503" t="inlineStr">
        <is>
          <t>dlr/2025/d23-70th-legacy-pin-set/25th-anniversary</t>
        </is>
      </c>
    </row>
    <row r="504">
      <c r="A504" t="inlineStr">
        <is>
          <t>PHS-0192</t>
        </is>
      </c>
      <c r="B504" t="n">
        <v>3</v>
      </c>
      <c r="C504" t="inlineStr"/>
      <c r="D504" t="inlineStr">
        <is>
          <t>Disneyland 35th Anniversary logo</t>
        </is>
      </c>
      <c r="E504" t="inlineStr"/>
      <c r="F504" t="inlineStr"/>
      <c r="G504" t="inlineStr">
        <is>
          <t>N</t>
        </is>
      </c>
      <c r="H504" t="inlineStr"/>
      <c r="I504" t="inlineStr">
        <is>
          <t>none</t>
        </is>
      </c>
      <c r="J504" t="inlineStr">
        <is>
          <t>candidate</t>
        </is>
      </c>
      <c r="K504" t="inlineStr">
        <is>
          <t>Low</t>
        </is>
      </c>
      <c r="L504" t="inlineStr">
        <is>
          <t>dlr/2025/d23-70th-legacy-pin-set/35th-anniversary</t>
        </is>
      </c>
    </row>
    <row r="505">
      <c r="A505" t="inlineStr">
        <is>
          <t>PHS-0192</t>
        </is>
      </c>
      <c r="B505" t="n">
        <v>4</v>
      </c>
      <c r="C505" t="inlineStr"/>
      <c r="D505" t="inlineStr">
        <is>
          <t>Disneyland 40th Anniversary logo</t>
        </is>
      </c>
      <c r="E505" t="inlineStr"/>
      <c r="F505" t="inlineStr"/>
      <c r="G505" t="inlineStr">
        <is>
          <t>N</t>
        </is>
      </c>
      <c r="H505" t="inlineStr"/>
      <c r="I505" t="inlineStr">
        <is>
          <t>none</t>
        </is>
      </c>
      <c r="J505" t="inlineStr">
        <is>
          <t>candidate</t>
        </is>
      </c>
      <c r="K505" t="inlineStr">
        <is>
          <t>Medium</t>
        </is>
      </c>
      <c r="L505" t="inlineStr">
        <is>
          <t>dlr/2025/d23-70th-legacy-pin-set/40th-anniversary</t>
        </is>
      </c>
    </row>
    <row r="506">
      <c r="A506" t="inlineStr">
        <is>
          <t>PHS-0192</t>
        </is>
      </c>
      <c r="B506" t="n">
        <v>5</v>
      </c>
      <c r="C506" t="inlineStr"/>
      <c r="D506" t="inlineStr">
        <is>
          <t>Disneyland 50th Anniversary logo</t>
        </is>
      </c>
      <c r="E506" t="inlineStr"/>
      <c r="F506" t="inlineStr"/>
      <c r="G506" t="inlineStr">
        <is>
          <t>N</t>
        </is>
      </c>
      <c r="H506" t="inlineStr"/>
      <c r="I506" t="inlineStr">
        <is>
          <t>none</t>
        </is>
      </c>
      <c r="J506" t="inlineStr">
        <is>
          <t>candidate</t>
        </is>
      </c>
      <c r="K506" t="inlineStr">
        <is>
          <t>Medium</t>
        </is>
      </c>
      <c r="L506" t="inlineStr">
        <is>
          <t>dlr/2025/d23-70th-legacy-pin-set/50th-anniversary</t>
        </is>
      </c>
    </row>
    <row r="507">
      <c r="A507" t="inlineStr">
        <is>
          <t>PHS-0192</t>
        </is>
      </c>
      <c r="B507" t="n">
        <v>6</v>
      </c>
      <c r="C507" t="inlineStr"/>
      <c r="D507" t="inlineStr">
        <is>
          <t>Disneyland 60th Anniversary logo</t>
        </is>
      </c>
      <c r="E507" t="inlineStr"/>
      <c r="F507" t="inlineStr"/>
      <c r="G507" t="inlineStr">
        <is>
          <t>N</t>
        </is>
      </c>
      <c r="H507" t="inlineStr"/>
      <c r="I507" t="inlineStr">
        <is>
          <t>none</t>
        </is>
      </c>
      <c r="J507" t="inlineStr">
        <is>
          <t>candidate</t>
        </is>
      </c>
      <c r="K507" t="inlineStr">
        <is>
          <t>Medium</t>
        </is>
      </c>
      <c r="L507" t="inlineStr">
        <is>
          <t>dlr/2025/d23-70th-legacy-pin-set/60th-anniversary</t>
        </is>
      </c>
    </row>
    <row r="508">
      <c r="A508" t="inlineStr">
        <is>
          <t>PHS-0192</t>
        </is>
      </c>
      <c r="B508" t="n">
        <v>7</v>
      </c>
      <c r="C508" t="inlineStr"/>
      <c r="D508" t="inlineStr">
        <is>
          <t>Disneyland 70th Anniversary logo</t>
        </is>
      </c>
      <c r="E508" t="inlineStr"/>
      <c r="F508" t="inlineStr"/>
      <c r="G508" t="inlineStr">
        <is>
          <t>N</t>
        </is>
      </c>
      <c r="H508" t="inlineStr"/>
      <c r="I508" t="inlineStr">
        <is>
          <t>none</t>
        </is>
      </c>
      <c r="J508" t="inlineStr">
        <is>
          <t>candidate</t>
        </is>
      </c>
      <c r="K508" t="inlineStr">
        <is>
          <t>Medium</t>
        </is>
      </c>
      <c r="L508" t="inlineStr">
        <is>
          <t>dlr/2025/d23-70th-legacy-pin-set/70th-anniversary</t>
        </is>
      </c>
    </row>
    <row r="509">
      <c r="A509" t="inlineStr">
        <is>
          <t>PHS-0193</t>
        </is>
      </c>
      <c r="B509" t="n">
        <v>1</v>
      </c>
      <c r="C509" t="inlineStr">
        <is>
          <t>Tinker Bell</t>
        </is>
      </c>
      <c r="D509" t="inlineStr">
        <is>
          <t>Tinker Bell – 2025 Disneyland Resort Hotel Holiday Snow Globe Pins</t>
        </is>
      </c>
      <c r="E509" t="inlineStr"/>
      <c r="F509" t="n">
        <v>2000</v>
      </c>
      <c r="G509" t="inlineStr">
        <is>
          <t>N</t>
        </is>
      </c>
      <c r="H509" t="inlineStr"/>
      <c r="I509" t="inlineStr">
        <is>
          <t>none</t>
        </is>
      </c>
      <c r="J509" t="inlineStr">
        <is>
          <t>candidate</t>
        </is>
      </c>
      <c r="K509" t="inlineStr">
        <is>
          <t>Low</t>
        </is>
      </c>
      <c r="L509" t="inlineStr">
        <is>
          <t>dlr/2025/resort-hotel-holiday-snow-globes-2025/disneyland-hotel-tinker-bell</t>
        </is>
      </c>
    </row>
    <row r="510">
      <c r="A510" t="inlineStr">
        <is>
          <t>PHS-0193</t>
        </is>
      </c>
      <c r="B510" t="n">
        <v>2</v>
      </c>
      <c r="C510" t="inlineStr">
        <is>
          <t>Chip; Dale</t>
        </is>
      </c>
      <c r="D510" t="inlineStr">
        <is>
          <t>Chip &amp; Dale – 2025 Disneyland Resort Hotel Holiday Snow Globe Pins</t>
        </is>
      </c>
      <c r="E510" t="inlineStr"/>
      <c r="F510" t="n">
        <v>2000</v>
      </c>
      <c r="G510" t="inlineStr">
        <is>
          <t>N</t>
        </is>
      </c>
      <c r="H510" t="inlineStr"/>
      <c r="I510" t="inlineStr">
        <is>
          <t>none</t>
        </is>
      </c>
      <c r="J510" t="inlineStr">
        <is>
          <t>candidate</t>
        </is>
      </c>
      <c r="K510" t="inlineStr">
        <is>
          <t>Low</t>
        </is>
      </c>
      <c r="L510" t="inlineStr">
        <is>
          <t>dlr/2025/resort-hotel-holiday-snow-globes-2025/grand-californian-chip-and-dale</t>
        </is>
      </c>
    </row>
    <row r="511">
      <c r="A511" t="inlineStr">
        <is>
          <t>PHS-0194</t>
        </is>
      </c>
      <c r="B511" t="n">
        <v>1</v>
      </c>
      <c r="C511" t="inlineStr">
        <is>
          <t>Aurora</t>
        </is>
      </c>
      <c r="D511" t="inlineStr">
        <is>
          <t>Aurora – Disneyland 70th Anniversary Vault Collection Pin Set 3</t>
        </is>
      </c>
      <c r="E511" t="inlineStr"/>
      <c r="F511" t="inlineStr"/>
      <c r="G511" t="inlineStr">
        <is>
          <t>N</t>
        </is>
      </c>
      <c r="H511" t="inlineStr"/>
      <c r="I511" t="inlineStr">
        <is>
          <t>none</t>
        </is>
      </c>
      <c r="J511" t="inlineStr">
        <is>
          <t>candidate</t>
        </is>
      </c>
      <c r="K511" t="inlineStr">
        <is>
          <t>Medium</t>
        </is>
      </c>
      <c r="L511" t="inlineStr">
        <is>
          <t>dlr/2026/70th-vault-collection-set-3/aurora-as-briar-rose</t>
        </is>
      </c>
    </row>
    <row r="512">
      <c r="A512" t="inlineStr">
        <is>
          <t>PHS-0194</t>
        </is>
      </c>
      <c r="B512" t="n">
        <v>2</v>
      </c>
      <c r="C512" t="inlineStr"/>
      <c r="D512" t="inlineStr">
        <is>
          <t>Carthay Circle large pin</t>
        </is>
      </c>
      <c r="E512" t="inlineStr"/>
      <c r="F512" t="inlineStr"/>
      <c r="G512" t="inlineStr">
        <is>
          <t>N</t>
        </is>
      </c>
      <c r="H512" t="inlineStr"/>
      <c r="I512" t="inlineStr">
        <is>
          <t>none</t>
        </is>
      </c>
      <c r="J512" t="inlineStr">
        <is>
          <t>candidate</t>
        </is>
      </c>
      <c r="K512" t="inlineStr">
        <is>
          <t>Medium</t>
        </is>
      </c>
      <c r="L512" t="inlineStr">
        <is>
          <t>dlr/2026/70th-vault-collection-set-3/carthay-circle</t>
        </is>
      </c>
    </row>
    <row r="513">
      <c r="A513" t="inlineStr">
        <is>
          <t>PHS-0194</t>
        </is>
      </c>
      <c r="B513" t="n">
        <v>3</v>
      </c>
      <c r="C513" t="inlineStr">
        <is>
          <t>Chip; Dale</t>
        </is>
      </c>
      <c r="D513" t="inlineStr">
        <is>
          <t>Chip &amp; Dale – Disneyland 70th Anniversary Vault Collection Pin Set 3</t>
        </is>
      </c>
      <c r="E513" t="inlineStr"/>
      <c r="F513" t="inlineStr"/>
      <c r="G513" t="inlineStr">
        <is>
          <t>N</t>
        </is>
      </c>
      <c r="H513" t="inlineStr"/>
      <c r="I513" t="inlineStr">
        <is>
          <t>none</t>
        </is>
      </c>
      <c r="J513" t="inlineStr">
        <is>
          <t>candidate</t>
        </is>
      </c>
      <c r="K513" t="inlineStr">
        <is>
          <t>Medium</t>
        </is>
      </c>
      <c r="L513" t="inlineStr">
        <is>
          <t>dlr/2026/70th-vault-collection-set-3/chip-n-dale</t>
        </is>
      </c>
    </row>
    <row r="514">
      <c r="A514" t="inlineStr">
        <is>
          <t>PHS-0194</t>
        </is>
      </c>
      <c r="B514" t="n">
        <v>4</v>
      </c>
      <c r="C514" t="inlineStr">
        <is>
          <t>Fauna; Flora; Merryweather</t>
        </is>
      </c>
      <c r="D514" t="inlineStr">
        <is>
          <t>Fauna &amp; Flora &amp; Merryweather – Disneyland 70th Anniversary Vault Collection Pin Set 3</t>
        </is>
      </c>
      <c r="E514" t="inlineStr"/>
      <c r="F514" t="inlineStr"/>
      <c r="G514" t="inlineStr">
        <is>
          <t>N</t>
        </is>
      </c>
      <c r="H514" t="inlineStr"/>
      <c r="I514" t="inlineStr">
        <is>
          <t>none</t>
        </is>
      </c>
      <c r="J514" t="inlineStr">
        <is>
          <t>candidate</t>
        </is>
      </c>
      <c r="K514" t="inlineStr">
        <is>
          <t>Medium</t>
        </is>
      </c>
      <c r="L514" t="inlineStr">
        <is>
          <t>dlr/2026/70th-vault-collection-set-3/three-good-fairies</t>
        </is>
      </c>
    </row>
    <row r="515">
      <c r="A515" t="inlineStr">
        <is>
          <t>PHS-0195</t>
        </is>
      </c>
      <c r="B515" t="n">
        <v>1</v>
      </c>
      <c r="C515" t="inlineStr">
        <is>
          <t>Dumbo</t>
        </is>
      </c>
      <c r="D515" t="inlineStr">
        <is>
          <t>Dumbo 85th Anniversary Mini Jumbo Pin</t>
        </is>
      </c>
      <c r="E515" t="inlineStr"/>
      <c r="F515" t="n">
        <v>4000</v>
      </c>
      <c r="G515" t="inlineStr">
        <is>
          <t>N</t>
        </is>
      </c>
      <c r="H515" t="inlineStr"/>
      <c r="I515" t="inlineStr">
        <is>
          <t>none</t>
        </is>
      </c>
      <c r="J515" t="inlineStr">
        <is>
          <t>candidate</t>
        </is>
      </c>
      <c r="K515" t="inlineStr">
        <is>
          <t>Medium</t>
        </is>
      </c>
      <c r="L515" t="inlineStr">
        <is>
          <t>dlr/2026/dumbo-85th-anniversary/dumbo</t>
        </is>
      </c>
    </row>
    <row r="516">
      <c r="A516" t="inlineStr">
        <is>
          <t>PHS-0196</t>
        </is>
      </c>
      <c r="B516" t="n">
        <v>1</v>
      </c>
      <c r="C516" t="inlineStr">
        <is>
          <t>Boo; Mike Wazowski; Sulley</t>
        </is>
      </c>
      <c r="D516" t="inlineStr">
        <is>
          <t>Boo &amp; Mike Wazowski &amp; Sulley – Monsters, Inc. 25th Anniversary Mike, Sully and Boo Pin</t>
        </is>
      </c>
      <c r="E516" t="inlineStr"/>
      <c r="F516" t="n">
        <v>4000</v>
      </c>
      <c r="G516" t="inlineStr">
        <is>
          <t>N</t>
        </is>
      </c>
      <c r="H516" t="inlineStr"/>
      <c r="I516" t="inlineStr">
        <is>
          <t>none</t>
        </is>
      </c>
      <c r="J516" t="inlineStr">
        <is>
          <t>candidate</t>
        </is>
      </c>
      <c r="K516" t="inlineStr">
        <is>
          <t>Low</t>
        </is>
      </c>
      <c r="L516" t="inlineStr">
        <is>
          <t>dlr/2026/monsters-inc-25th-mike-sully-boo/mike-sully-and-boo</t>
        </is>
      </c>
    </row>
    <row r="517">
      <c r="A517" t="inlineStr">
        <is>
          <t>PHS-0197</t>
        </is>
      </c>
      <c r="B517" t="n">
        <v>1</v>
      </c>
      <c r="C517" t="inlineStr">
        <is>
          <t>Chip; Dale</t>
        </is>
      </c>
      <c r="D517" t="inlineStr">
        <is>
          <t>Chip 'n Dale Limited Release Christmas Countdown 2024 Jumbo Pin</t>
        </is>
      </c>
      <c r="E517" t="inlineStr"/>
      <c r="F517" t="inlineStr"/>
      <c r="G517" t="inlineStr">
        <is>
          <t>N</t>
        </is>
      </c>
      <c r="H517" t="inlineStr"/>
      <c r="I517" t="inlineStr">
        <is>
          <t>none</t>
        </is>
      </c>
      <c r="J517" t="inlineStr">
        <is>
          <t>candidate</t>
        </is>
      </c>
      <c r="K517" t="inlineStr">
        <is>
          <t>High</t>
        </is>
      </c>
      <c r="L517" t="inlineStr">
        <is>
          <t>dsuk/2024/chip-n-dale-christmas-countdown-2024-jumbo/chip-n-dale</t>
        </is>
      </c>
    </row>
    <row r="518">
      <c r="A518" t="inlineStr">
        <is>
          <t>PHS-0198</t>
        </is>
      </c>
      <c r="B518" t="n">
        <v>1</v>
      </c>
      <c r="C518" t="inlineStr">
        <is>
          <t>Chip; Dale</t>
        </is>
      </c>
      <c r="D518" t="inlineStr">
        <is>
          <t>Chip &amp; Dale – Chip 'n Dale New Year's Eve 2024 Limited Release Pin</t>
        </is>
      </c>
      <c r="E518" t="inlineStr"/>
      <c r="F518" t="inlineStr"/>
      <c r="G518" t="inlineStr">
        <is>
          <t>N</t>
        </is>
      </c>
      <c r="H518" t="inlineStr"/>
      <c r="I518" t="inlineStr">
        <is>
          <t>none</t>
        </is>
      </c>
      <c r="J518" t="inlineStr">
        <is>
          <t>candidate</t>
        </is>
      </c>
      <c r="K518" t="inlineStr">
        <is>
          <t>Medium</t>
        </is>
      </c>
      <c r="L518" t="inlineStr">
        <is>
          <t>dsuk/2024/chip-n-dale-new-years-eve-2024/chip-n-dale</t>
        </is>
      </c>
    </row>
    <row r="519">
      <c r="A519" t="inlineStr">
        <is>
          <t>PHS-0199</t>
        </is>
      </c>
      <c r="B519" t="n">
        <v>1</v>
      </c>
      <c r="C519" t="inlineStr">
        <is>
          <t>Alma</t>
        </is>
      </c>
      <c r="D519" t="inlineStr">
        <is>
          <t>Alma – Encanto Limited Edition Mystery Puzzle Pin</t>
        </is>
      </c>
      <c r="E519" t="inlineStr"/>
      <c r="F519" t="n">
        <v>600</v>
      </c>
      <c r="G519" t="inlineStr">
        <is>
          <t>N</t>
        </is>
      </c>
      <c r="H519" t="inlineStr"/>
      <c r="I519" t="inlineStr">
        <is>
          <t>none</t>
        </is>
      </c>
      <c r="J519" t="inlineStr">
        <is>
          <t>candidate</t>
        </is>
      </c>
      <c r="K519" t="inlineStr">
        <is>
          <t>Medium</t>
        </is>
      </c>
      <c r="L519" t="inlineStr">
        <is>
          <t>dsuk/2024/encanto-mystery-puzzle-pin/alma</t>
        </is>
      </c>
    </row>
    <row r="520">
      <c r="A520" t="inlineStr">
        <is>
          <t>PHS-0199</t>
        </is>
      </c>
      <c r="B520" t="n">
        <v>2</v>
      </c>
      <c r="C520" t="inlineStr">
        <is>
          <t>Antonio</t>
        </is>
      </c>
      <c r="D520" t="inlineStr">
        <is>
          <t>Antonio – Encanto Limited Edition Mystery Puzzle Pin</t>
        </is>
      </c>
      <c r="E520" t="inlineStr"/>
      <c r="F520" t="n">
        <v>600</v>
      </c>
      <c r="G520" t="inlineStr">
        <is>
          <t>N</t>
        </is>
      </c>
      <c r="H520" t="inlineStr"/>
      <c r="I520" t="inlineStr">
        <is>
          <t>none</t>
        </is>
      </c>
      <c r="J520" t="inlineStr">
        <is>
          <t>candidate</t>
        </is>
      </c>
      <c r="K520" t="inlineStr">
        <is>
          <t>Medium</t>
        </is>
      </c>
      <c r="L520" t="inlineStr">
        <is>
          <t>dsuk/2024/encanto-mystery-puzzle-pin/antonio</t>
        </is>
      </c>
    </row>
    <row r="521">
      <c r="A521" t="inlineStr">
        <is>
          <t>PHS-0199</t>
        </is>
      </c>
      <c r="B521" t="n">
        <v>3</v>
      </c>
      <c r="C521" t="inlineStr">
        <is>
          <t>Bruno</t>
        </is>
      </c>
      <c r="D521" t="inlineStr">
        <is>
          <t>Bruno – Encanto Limited Edition Mystery Puzzle Pin</t>
        </is>
      </c>
      <c r="E521" t="inlineStr"/>
      <c r="F521" t="n">
        <v>600</v>
      </c>
      <c r="G521" t="inlineStr">
        <is>
          <t>N</t>
        </is>
      </c>
      <c r="H521" t="inlineStr"/>
      <c r="I521" t="inlineStr">
        <is>
          <t>none</t>
        </is>
      </c>
      <c r="J521" t="inlineStr">
        <is>
          <t>candidate</t>
        </is>
      </c>
      <c r="K521" t="inlineStr">
        <is>
          <t>Medium</t>
        </is>
      </c>
      <c r="L521" t="inlineStr">
        <is>
          <t>dsuk/2024/encanto-mystery-puzzle-pin/bruno</t>
        </is>
      </c>
    </row>
    <row r="522">
      <c r="A522" t="inlineStr">
        <is>
          <t>PHS-0199</t>
        </is>
      </c>
      <c r="B522" t="n">
        <v>4</v>
      </c>
      <c r="C522" t="inlineStr">
        <is>
          <t>Camilo</t>
        </is>
      </c>
      <c r="D522" t="inlineStr">
        <is>
          <t>Camilo – Encanto Limited Edition Mystery Puzzle Pin</t>
        </is>
      </c>
      <c r="E522" t="inlineStr"/>
      <c r="F522" t="n">
        <v>600</v>
      </c>
      <c r="G522" t="inlineStr">
        <is>
          <t>N</t>
        </is>
      </c>
      <c r="H522" t="inlineStr"/>
      <c r="I522" t="inlineStr">
        <is>
          <t>none</t>
        </is>
      </c>
      <c r="J522" t="inlineStr">
        <is>
          <t>candidate</t>
        </is>
      </c>
      <c r="K522" t="inlineStr">
        <is>
          <t>Medium</t>
        </is>
      </c>
      <c r="L522" t="inlineStr">
        <is>
          <t>dsuk/2024/encanto-mystery-puzzle-pin/camilo</t>
        </is>
      </c>
    </row>
    <row r="523">
      <c r="A523" t="inlineStr">
        <is>
          <t>PHS-0199</t>
        </is>
      </c>
      <c r="B523" t="n">
        <v>5</v>
      </c>
      <c r="C523" t="inlineStr">
        <is>
          <t>Dolores</t>
        </is>
      </c>
      <c r="D523" t="inlineStr">
        <is>
          <t>Dolores – Encanto Limited Edition Mystery Puzzle Pin</t>
        </is>
      </c>
      <c r="E523" t="inlineStr"/>
      <c r="F523" t="n">
        <v>600</v>
      </c>
      <c r="G523" t="inlineStr">
        <is>
          <t>N</t>
        </is>
      </c>
      <c r="H523" t="inlineStr"/>
      <c r="I523" t="inlineStr">
        <is>
          <t>none</t>
        </is>
      </c>
      <c r="J523" t="inlineStr">
        <is>
          <t>candidate</t>
        </is>
      </c>
      <c r="K523" t="inlineStr">
        <is>
          <t>Medium</t>
        </is>
      </c>
      <c r="L523" t="inlineStr">
        <is>
          <t>dsuk/2024/encanto-mystery-puzzle-pin/dolores</t>
        </is>
      </c>
    </row>
    <row r="524">
      <c r="A524" t="inlineStr">
        <is>
          <t>PHS-0199</t>
        </is>
      </c>
      <c r="B524" t="n">
        <v>6</v>
      </c>
      <c r="C524" t="inlineStr">
        <is>
          <t>Isabela</t>
        </is>
      </c>
      <c r="D524" t="inlineStr">
        <is>
          <t>Isabela – Encanto Limited Edition Mystery Puzzle Pin</t>
        </is>
      </c>
      <c r="E524" t="inlineStr"/>
      <c r="F524" t="n">
        <v>600</v>
      </c>
      <c r="G524" t="inlineStr">
        <is>
          <t>N</t>
        </is>
      </c>
      <c r="H524" t="inlineStr"/>
      <c r="I524" t="inlineStr">
        <is>
          <t>none</t>
        </is>
      </c>
      <c r="J524" t="inlineStr">
        <is>
          <t>candidate</t>
        </is>
      </c>
      <c r="K524" t="inlineStr">
        <is>
          <t>Medium</t>
        </is>
      </c>
      <c r="L524" t="inlineStr">
        <is>
          <t>dsuk/2024/encanto-mystery-puzzle-pin/isabela</t>
        </is>
      </c>
    </row>
    <row r="525">
      <c r="A525" t="inlineStr">
        <is>
          <t>PHS-0199</t>
        </is>
      </c>
      <c r="B525" t="n">
        <v>7</v>
      </c>
      <c r="C525" t="inlineStr">
        <is>
          <t>Agustín; Julieta</t>
        </is>
      </c>
      <c r="D525" t="inlineStr">
        <is>
          <t>Agustín &amp; Julieta – Encanto Limited Edition Mystery Puzzle Pin</t>
        </is>
      </c>
      <c r="E525" t="inlineStr"/>
      <c r="F525" t="n">
        <v>600</v>
      </c>
      <c r="G525" t="inlineStr">
        <is>
          <t>N</t>
        </is>
      </c>
      <c r="H525" t="inlineStr"/>
      <c r="I525" t="inlineStr">
        <is>
          <t>none</t>
        </is>
      </c>
      <c r="J525" t="inlineStr">
        <is>
          <t>candidate</t>
        </is>
      </c>
      <c r="K525" t="inlineStr">
        <is>
          <t>Medium</t>
        </is>
      </c>
      <c r="L525" t="inlineStr">
        <is>
          <t>dsuk/2024/encanto-mystery-puzzle-pin/julieta-and-agustin</t>
        </is>
      </c>
    </row>
    <row r="526">
      <c r="A526" t="inlineStr">
        <is>
          <t>PHS-0199</t>
        </is>
      </c>
      <c r="B526" t="n">
        <v>8</v>
      </c>
      <c r="C526" t="inlineStr">
        <is>
          <t>Luisa</t>
        </is>
      </c>
      <c r="D526" t="inlineStr">
        <is>
          <t>Luisa – Encanto Limited Edition Mystery Puzzle Pin</t>
        </is>
      </c>
      <c r="E526" t="inlineStr"/>
      <c r="F526" t="n">
        <v>600</v>
      </c>
      <c r="G526" t="inlineStr">
        <is>
          <t>N</t>
        </is>
      </c>
      <c r="H526" t="inlineStr"/>
      <c r="I526" t="inlineStr">
        <is>
          <t>none</t>
        </is>
      </c>
      <c r="J526" t="inlineStr">
        <is>
          <t>candidate</t>
        </is>
      </c>
      <c r="K526" t="inlineStr">
        <is>
          <t>Medium</t>
        </is>
      </c>
      <c r="L526" t="inlineStr">
        <is>
          <t>dsuk/2024/encanto-mystery-puzzle-pin/luisa</t>
        </is>
      </c>
    </row>
    <row r="527">
      <c r="A527" t="inlineStr">
        <is>
          <t>PHS-0199</t>
        </is>
      </c>
      <c r="B527" t="n">
        <v>9</v>
      </c>
      <c r="C527" t="inlineStr">
        <is>
          <t>Mirabel</t>
        </is>
      </c>
      <c r="D527" t="inlineStr">
        <is>
          <t>Mirabel – Encanto Limited Edition Mystery Puzzle Pin</t>
        </is>
      </c>
      <c r="E527" t="inlineStr"/>
      <c r="F527" t="n">
        <v>600</v>
      </c>
      <c r="G527" t="inlineStr">
        <is>
          <t>N</t>
        </is>
      </c>
      <c r="H527" t="inlineStr"/>
      <c r="I527" t="inlineStr">
        <is>
          <t>none</t>
        </is>
      </c>
      <c r="J527" t="inlineStr">
        <is>
          <t>candidate</t>
        </is>
      </c>
      <c r="K527" t="inlineStr">
        <is>
          <t>Medium</t>
        </is>
      </c>
      <c r="L527" t="inlineStr">
        <is>
          <t>dsuk/2024/encanto-mystery-puzzle-pin/mirabel</t>
        </is>
      </c>
    </row>
    <row r="528">
      <c r="A528" t="inlineStr">
        <is>
          <t>PHS-0199</t>
        </is>
      </c>
      <c r="B528" t="n">
        <v>10</v>
      </c>
      <c r="C528" t="inlineStr">
        <is>
          <t>Félix; Pepa</t>
        </is>
      </c>
      <c r="D528" t="inlineStr">
        <is>
          <t>Félix &amp; Pepa – Encanto Limited Edition Mystery Puzzle Pin</t>
        </is>
      </c>
      <c r="E528" t="inlineStr"/>
      <c r="F528" t="n">
        <v>600</v>
      </c>
      <c r="G528" t="inlineStr">
        <is>
          <t>N</t>
        </is>
      </c>
      <c r="H528" t="inlineStr"/>
      <c r="I528" t="inlineStr">
        <is>
          <t>none</t>
        </is>
      </c>
      <c r="J528" t="inlineStr">
        <is>
          <t>candidate</t>
        </is>
      </c>
      <c r="K528" t="inlineStr">
        <is>
          <t>Medium</t>
        </is>
      </c>
      <c r="L528" t="inlineStr">
        <is>
          <t>dsuk/2024/encanto-mystery-puzzle-pin/pepa-and-felix</t>
        </is>
      </c>
    </row>
    <row r="529">
      <c r="A529" t="inlineStr">
        <is>
          <t>PHS-0200</t>
        </is>
      </c>
      <c r="B529" t="n">
        <v>1</v>
      </c>
      <c r="C529" t="inlineStr">
        <is>
          <t>Anxiety</t>
        </is>
      </c>
      <c r="D529" t="inlineStr">
        <is>
          <t>Anxiety Limited Release Pin, Inside Out 2</t>
        </is>
      </c>
      <c r="E529" t="inlineStr"/>
      <c r="F529" t="inlineStr"/>
      <c r="G529" t="inlineStr">
        <is>
          <t>N</t>
        </is>
      </c>
      <c r="H529" t="inlineStr"/>
      <c r="I529" t="inlineStr">
        <is>
          <t>none</t>
        </is>
      </c>
      <c r="J529" t="inlineStr">
        <is>
          <t>candidate</t>
        </is>
      </c>
      <c r="K529" t="inlineStr">
        <is>
          <t>Medium</t>
        </is>
      </c>
      <c r="L529" t="inlineStr">
        <is>
          <t>dsuk/2024/inside-out-2-anxiety/anxiety</t>
        </is>
      </c>
    </row>
    <row r="530">
      <c r="A530" t="inlineStr">
        <is>
          <t>PHS-0201</t>
        </is>
      </c>
      <c r="B530" t="n">
        <v>1</v>
      </c>
      <c r="C530" t="inlineStr">
        <is>
          <t>Anger; Anxiety; Fear; Joy</t>
        </is>
      </c>
      <c r="D530" t="inlineStr">
        <is>
          <t>Inside Out 2 Current Mood Limited Release Spinner Pin</t>
        </is>
      </c>
      <c r="E530" t="inlineStr"/>
      <c r="F530" t="inlineStr"/>
      <c r="G530" t="inlineStr">
        <is>
          <t>N</t>
        </is>
      </c>
      <c r="H530" t="inlineStr"/>
      <c r="I530" t="inlineStr">
        <is>
          <t>none</t>
        </is>
      </c>
      <c r="J530" t="inlineStr">
        <is>
          <t>candidate</t>
        </is>
      </c>
      <c r="K530" t="inlineStr">
        <is>
          <t>Medium</t>
        </is>
      </c>
      <c r="L530" t="inlineStr">
        <is>
          <t>dsuk/2024/inside-out-2-current-mood-spinner/emotions</t>
        </is>
      </c>
    </row>
    <row r="531">
      <c r="A531" t="inlineStr">
        <is>
          <t>PHS-0202</t>
        </is>
      </c>
      <c r="B531" t="n">
        <v>1</v>
      </c>
      <c r="C531" t="inlineStr">
        <is>
          <t>Hei Hei; Moana; Pua; Simea</t>
        </is>
      </c>
      <c r="D531" t="inlineStr">
        <is>
          <t>Hei Hei &amp; Moana &amp; Pua &amp; Simea – Moana, Simea, Pua and Hei Hei Limited Release Pin, Moana 2</t>
        </is>
      </c>
      <c r="E531" t="inlineStr"/>
      <c r="F531" t="inlineStr"/>
      <c r="G531" t="inlineStr">
        <is>
          <t>N</t>
        </is>
      </c>
      <c r="H531" t="inlineStr"/>
      <c r="I531" t="inlineStr">
        <is>
          <t>none</t>
        </is>
      </c>
      <c r="J531" t="inlineStr">
        <is>
          <t>candidate</t>
        </is>
      </c>
      <c r="K531" t="inlineStr">
        <is>
          <t>High</t>
        </is>
      </c>
      <c r="L531" t="inlineStr">
        <is>
          <t>dsuk/2024/moana-2-moana-simea-pua-heihei/moana-simea-pua-heihei</t>
        </is>
      </c>
    </row>
    <row r="532">
      <c r="A532" t="inlineStr">
        <is>
          <t>PHS-0203</t>
        </is>
      </c>
      <c r="B532" t="n">
        <v>1</v>
      </c>
      <c r="C532" t="inlineStr">
        <is>
          <t>Beaker; Dr. Bunsen Honeydew</t>
        </is>
      </c>
      <c r="D532" t="inlineStr">
        <is>
          <t>Dr. Bunsen Honeydew and Beaker as Busts</t>
        </is>
      </c>
      <c r="E532" t="inlineStr"/>
      <c r="F532" t="inlineStr"/>
      <c r="G532" t="inlineStr">
        <is>
          <t>N</t>
        </is>
      </c>
      <c r="H532" t="inlineStr"/>
      <c r="I532" t="inlineStr">
        <is>
          <t>none</t>
        </is>
      </c>
      <c r="J532" t="inlineStr">
        <is>
          <t>candidate</t>
        </is>
      </c>
      <c r="K532" t="inlineStr">
        <is>
          <t>Medium</t>
        </is>
      </c>
      <c r="L532" t="inlineStr">
        <is>
          <t>dsuk/2024/muppets-haunted-mansion-mystery-puzzle-pin/bunsen-and-beaker-as-busts</t>
        </is>
      </c>
    </row>
    <row r="533">
      <c r="A533" t="inlineStr">
        <is>
          <t>PHS-0203</t>
        </is>
      </c>
      <c r="B533" t="n">
        <v>2</v>
      </c>
      <c r="C533" t="inlineStr">
        <is>
          <t>The Chickens</t>
        </is>
      </c>
      <c r="D533" t="inlineStr">
        <is>
          <t>Chickens as Ghosts</t>
        </is>
      </c>
      <c r="E533" t="inlineStr"/>
      <c r="F533" t="inlineStr"/>
      <c r="G533" t="inlineStr">
        <is>
          <t>N</t>
        </is>
      </c>
      <c r="H533" t="inlineStr"/>
      <c r="I533" t="inlineStr">
        <is>
          <t>none</t>
        </is>
      </c>
      <c r="J533" t="inlineStr">
        <is>
          <t>candidate</t>
        </is>
      </c>
      <c r="K533" t="inlineStr">
        <is>
          <t>Medium</t>
        </is>
      </c>
      <c r="L533" t="inlineStr">
        <is>
          <t>dsuk/2024/muppets-haunted-mansion-mystery-puzzle-pin/chickens-as-ghosts</t>
        </is>
      </c>
    </row>
    <row r="534">
      <c r="A534" t="inlineStr">
        <is>
          <t>PHS-0203</t>
        </is>
      </c>
      <c r="B534" t="n">
        <v>3</v>
      </c>
      <c r="C534" t="inlineStr">
        <is>
          <t>The Electric Mayhem</t>
        </is>
      </c>
      <c r="D534" t="inlineStr">
        <is>
          <t>The Electric Mayhem as Singing Ghosts</t>
        </is>
      </c>
      <c r="E534" t="inlineStr"/>
      <c r="F534" t="inlineStr"/>
      <c r="G534" t="inlineStr">
        <is>
          <t>N</t>
        </is>
      </c>
      <c r="H534" t="inlineStr"/>
      <c r="I534" t="inlineStr">
        <is>
          <t>none</t>
        </is>
      </c>
      <c r="J534" t="inlineStr">
        <is>
          <t>candidate</t>
        </is>
      </c>
      <c r="K534" t="inlineStr">
        <is>
          <t>Medium</t>
        </is>
      </c>
      <c r="L534" t="inlineStr">
        <is>
          <t>dsuk/2024/muppets-haunted-mansion-mystery-puzzle-pin/electric-mayhem-as-singing-ghosts</t>
        </is>
      </c>
    </row>
    <row r="535">
      <c r="A535" t="inlineStr">
        <is>
          <t>PHS-0203</t>
        </is>
      </c>
      <c r="B535" t="n">
        <v>4</v>
      </c>
      <c r="C535" t="inlineStr">
        <is>
          <t>Fozzie Bear</t>
        </is>
      </c>
      <c r="D535" t="inlineStr">
        <is>
          <t>Fozzie as the Hatbox Ghost</t>
        </is>
      </c>
      <c r="E535" t="inlineStr"/>
      <c r="F535" t="inlineStr"/>
      <c r="G535" t="inlineStr">
        <is>
          <t>N</t>
        </is>
      </c>
      <c r="H535" t="inlineStr"/>
      <c r="I535" t="inlineStr">
        <is>
          <t>none</t>
        </is>
      </c>
      <c r="J535" t="inlineStr">
        <is>
          <t>candidate</t>
        </is>
      </c>
      <c r="K535" t="inlineStr">
        <is>
          <t>Medium</t>
        </is>
      </c>
      <c r="L535" t="inlineStr">
        <is>
          <t>dsuk/2024/muppets-haunted-mansion-mystery-puzzle-pin/fozzie-as-hatbox-ghost</t>
        </is>
      </c>
    </row>
    <row r="536">
      <c r="A536" t="inlineStr">
        <is>
          <t>PHS-0203</t>
        </is>
      </c>
      <c r="B536" t="n">
        <v>5</v>
      </c>
      <c r="C536" t="inlineStr">
        <is>
          <t>Gonzo; Pepe</t>
        </is>
      </c>
      <c r="D536" t="inlineStr">
        <is>
          <t>Gonzo and Pepe as Servants</t>
        </is>
      </c>
      <c r="E536" t="inlineStr"/>
      <c r="F536" t="inlineStr"/>
      <c r="G536" t="inlineStr">
        <is>
          <t>N</t>
        </is>
      </c>
      <c r="H536" t="inlineStr"/>
      <c r="I536" t="inlineStr">
        <is>
          <t>none</t>
        </is>
      </c>
      <c r="J536" t="inlineStr">
        <is>
          <t>candidate</t>
        </is>
      </c>
      <c r="K536" t="inlineStr">
        <is>
          <t>Medium</t>
        </is>
      </c>
      <c r="L536" t="inlineStr">
        <is>
          <t>dsuk/2024/muppets-haunted-mansion-mystery-puzzle-pin/gonzo-and-pepe-as-servants</t>
        </is>
      </c>
    </row>
    <row r="537">
      <c r="A537" t="inlineStr">
        <is>
          <t>PHS-0203</t>
        </is>
      </c>
      <c r="B537" t="n">
        <v>6</v>
      </c>
      <c r="C537" t="inlineStr"/>
      <c r="D537" t="inlineStr">
        <is>
          <t>Haunted Mansion Exterior</t>
        </is>
      </c>
      <c r="E537" t="inlineStr"/>
      <c r="F537" t="inlineStr"/>
      <c r="G537" t="inlineStr">
        <is>
          <t>N</t>
        </is>
      </c>
      <c r="H537" t="inlineStr"/>
      <c r="I537" t="inlineStr">
        <is>
          <t>none</t>
        </is>
      </c>
      <c r="J537" t="inlineStr">
        <is>
          <t>candidate</t>
        </is>
      </c>
      <c r="K537" t="inlineStr">
        <is>
          <t>Medium</t>
        </is>
      </c>
      <c r="L537" t="inlineStr">
        <is>
          <t>dsuk/2024/muppets-haunted-mansion-mystery-puzzle-pin/haunted-mansion-exterior</t>
        </is>
      </c>
    </row>
    <row r="538">
      <c r="A538" t="inlineStr">
        <is>
          <t>PHS-0203</t>
        </is>
      </c>
      <c r="B538" t="n">
        <v>7</v>
      </c>
      <c r="C538" t="inlineStr">
        <is>
          <t>Kermit the Frog; Miss Piggy</t>
        </is>
      </c>
      <c r="D538" t="inlineStr">
        <is>
          <t>Kermit and Miss Piggy in Mardi Gras costumes</t>
        </is>
      </c>
      <c r="E538" t="inlineStr"/>
      <c r="F538" t="inlineStr"/>
      <c r="G538" t="inlineStr">
        <is>
          <t>N</t>
        </is>
      </c>
      <c r="H538" t="inlineStr"/>
      <c r="I538" t="inlineStr">
        <is>
          <t>none</t>
        </is>
      </c>
      <c r="J538" t="inlineStr">
        <is>
          <t>candidate</t>
        </is>
      </c>
      <c r="K538" t="inlineStr">
        <is>
          <t>Medium</t>
        </is>
      </c>
      <c r="L538" t="inlineStr">
        <is>
          <t>dsuk/2024/muppets-haunted-mansion-mystery-puzzle-pin/kermit-and-miss-piggy-mardi-gras</t>
        </is>
      </c>
    </row>
    <row r="539">
      <c r="A539" t="inlineStr">
        <is>
          <t>PHS-0203</t>
        </is>
      </c>
      <c r="B539" t="n">
        <v>8</v>
      </c>
      <c r="C539" t="inlineStr">
        <is>
          <t>Rowlf</t>
        </is>
      </c>
      <c r="D539" t="inlineStr">
        <is>
          <t>Rowlf as Organist</t>
        </is>
      </c>
      <c r="E539" t="inlineStr"/>
      <c r="F539" t="inlineStr"/>
      <c r="G539" t="inlineStr">
        <is>
          <t>N</t>
        </is>
      </c>
      <c r="H539" t="inlineStr"/>
      <c r="I539" t="inlineStr">
        <is>
          <t>none</t>
        </is>
      </c>
      <c r="J539" t="inlineStr">
        <is>
          <t>candidate</t>
        </is>
      </c>
      <c r="K539" t="inlineStr">
        <is>
          <t>Medium</t>
        </is>
      </c>
      <c r="L539" t="inlineStr">
        <is>
          <t>dsuk/2024/muppets-haunted-mansion-mystery-puzzle-pin/rowlf-as-organist</t>
        </is>
      </c>
    </row>
    <row r="540">
      <c r="A540" t="inlineStr">
        <is>
          <t>PHS-0203</t>
        </is>
      </c>
      <c r="B540" t="n">
        <v>9</v>
      </c>
      <c r="C540" t="inlineStr">
        <is>
          <t>Pops; Sam Eagle</t>
        </is>
      </c>
      <c r="D540" t="inlineStr">
        <is>
          <t>Sam Eagle and Pops as Ghosts</t>
        </is>
      </c>
      <c r="E540" t="inlineStr"/>
      <c r="F540" t="inlineStr"/>
      <c r="G540" t="inlineStr">
        <is>
          <t>N</t>
        </is>
      </c>
      <c r="H540" t="inlineStr"/>
      <c r="I540" t="inlineStr">
        <is>
          <t>none</t>
        </is>
      </c>
      <c r="J540" t="inlineStr">
        <is>
          <t>candidate</t>
        </is>
      </c>
      <c r="K540" t="inlineStr">
        <is>
          <t>Medium</t>
        </is>
      </c>
      <c r="L540" t="inlineStr">
        <is>
          <t>dsuk/2024/muppets-haunted-mansion-mystery-puzzle-pin/sam-eagle-and-pops-as-ghosts</t>
        </is>
      </c>
    </row>
    <row r="541">
      <c r="A541" t="inlineStr">
        <is>
          <t>PHS-0203</t>
        </is>
      </c>
      <c r="B541" t="n">
        <v>10</v>
      </c>
      <c r="C541" t="inlineStr">
        <is>
          <t>Statler; Waldorf</t>
        </is>
      </c>
      <c r="D541" t="inlineStr">
        <is>
          <t>Statler and Waldorf in a Doom Buggy</t>
        </is>
      </c>
      <c r="E541" t="inlineStr"/>
      <c r="F541" t="inlineStr"/>
      <c r="G541" t="inlineStr">
        <is>
          <t>N</t>
        </is>
      </c>
      <c r="H541" t="inlineStr"/>
      <c r="I541" t="inlineStr">
        <is>
          <t>none</t>
        </is>
      </c>
      <c r="J541" t="inlineStr">
        <is>
          <t>candidate</t>
        </is>
      </c>
      <c r="K541" t="inlineStr">
        <is>
          <t>Medium</t>
        </is>
      </c>
      <c r="L541" t="inlineStr">
        <is>
          <t>dsuk/2024/muppets-haunted-mansion-mystery-puzzle-pin/statler-and-waldorf-doom-buggy</t>
        </is>
      </c>
    </row>
    <row r="542">
      <c r="A542" t="inlineStr">
        <is>
          <t>PHS-0204</t>
        </is>
      </c>
      <c r="B542" t="n">
        <v>1</v>
      </c>
      <c r="C542" t="inlineStr">
        <is>
          <t>Mickey Mouse</t>
        </is>
      </c>
      <c r="D542" t="inlineStr">
        <is>
          <t>Mickey Mouse – Santa Mickey Mouse Limited Edition Festive Pin 2024</t>
        </is>
      </c>
      <c r="E542" t="inlineStr"/>
      <c r="F542" t="n">
        <v>4500</v>
      </c>
      <c r="G542" t="inlineStr">
        <is>
          <t>N</t>
        </is>
      </c>
      <c r="H542" t="inlineStr"/>
      <c r="I542" t="inlineStr">
        <is>
          <t>none</t>
        </is>
      </c>
      <c r="J542" t="inlineStr">
        <is>
          <t>candidate</t>
        </is>
      </c>
      <c r="K542" t="inlineStr">
        <is>
          <t>High</t>
        </is>
      </c>
      <c r="L542" t="inlineStr">
        <is>
          <t>dsuk/2024/santa-mickey-mouse-festive-pin-2024/santa-mickey-mouse</t>
        </is>
      </c>
    </row>
    <row r="543">
      <c r="A543" t="inlineStr">
        <is>
          <t>PHS-0205</t>
        </is>
      </c>
      <c r="B543" t="n">
        <v>1</v>
      </c>
      <c r="C543" t="inlineStr">
        <is>
          <t>Donald Duck</t>
        </is>
      </c>
      <c r="D543" t="inlineStr">
        <is>
          <t>Donald Duck – Donald Duck St. Patrick's Day 2024 Limited Release Pin</t>
        </is>
      </c>
      <c r="E543" t="inlineStr"/>
      <c r="F543" t="inlineStr"/>
      <c r="G543" t="inlineStr">
        <is>
          <t>N</t>
        </is>
      </c>
      <c r="H543" t="inlineStr"/>
      <c r="I543" t="inlineStr">
        <is>
          <t>none</t>
        </is>
      </c>
      <c r="J543" t="inlineStr">
        <is>
          <t>candidate</t>
        </is>
      </c>
      <c r="K543" t="inlineStr">
        <is>
          <t>Medium</t>
        </is>
      </c>
      <c r="L543" t="inlineStr">
        <is>
          <t>dsuk/2024/st-patricks-day-2024-donald/donald-duck</t>
        </is>
      </c>
    </row>
    <row r="544">
      <c r="A544" t="inlineStr">
        <is>
          <t>PHS-0206</t>
        </is>
      </c>
      <c r="B544" t="n">
        <v>1</v>
      </c>
      <c r="C544" t="inlineStr">
        <is>
          <t>Mickey Mouse; Walt Disney</t>
        </is>
      </c>
      <c r="D544" t="inlineStr">
        <is>
          <t>Walt Disney and Mickey Mouse Limited Release Pin, Walt Disney Day 2024</t>
        </is>
      </c>
      <c r="E544" t="inlineStr"/>
      <c r="F544" t="inlineStr"/>
      <c r="G544" t="inlineStr">
        <is>
          <t>N</t>
        </is>
      </c>
      <c r="H544" t="inlineStr"/>
      <c r="I544" t="inlineStr">
        <is>
          <t>none</t>
        </is>
      </c>
      <c r="J544" t="inlineStr">
        <is>
          <t>candidate</t>
        </is>
      </c>
      <c r="K544" t="inlineStr">
        <is>
          <t>Medium</t>
        </is>
      </c>
      <c r="L544" t="inlineStr">
        <is>
          <t>dsuk/2024/walt-disney-day-2024/walt-disney-and-mickey-mouse</t>
        </is>
      </c>
    </row>
    <row r="545">
      <c r="A545" t="inlineStr">
        <is>
          <t>PHS-0207</t>
        </is>
      </c>
      <c r="B545" t="n">
        <v>1</v>
      </c>
      <c r="C545" t="inlineStr"/>
      <c r="D545" t="inlineStr">
        <is>
          <t>Aladdin 'Happily Ever After' Limited Edition Slider Pin</t>
        </is>
      </c>
      <c r="E545" t="inlineStr"/>
      <c r="F545" t="n">
        <v>2400</v>
      </c>
      <c r="G545" t="inlineStr">
        <is>
          <t>N</t>
        </is>
      </c>
      <c r="H545" t="inlineStr"/>
      <c r="I545" t="inlineStr">
        <is>
          <t>none</t>
        </is>
      </c>
      <c r="J545" t="inlineStr">
        <is>
          <t>candidate</t>
        </is>
      </c>
      <c r="K545" t="inlineStr">
        <is>
          <t>Medium</t>
        </is>
      </c>
      <c r="L545" t="inlineStr">
        <is>
          <t>dsuk/2025/happily-ever-after-slider-series/aladdin</t>
        </is>
      </c>
    </row>
    <row r="546">
      <c r="A546" t="inlineStr">
        <is>
          <t>PHS-0207</t>
        </is>
      </c>
      <c r="B546" t="n">
        <v>2</v>
      </c>
      <c r="C546" t="inlineStr"/>
      <c r="D546" t="inlineStr">
        <is>
          <t>Beauty and the Beast 'Happily Ever After' Limited Edition Slider Pin</t>
        </is>
      </c>
      <c r="E546" t="inlineStr"/>
      <c r="F546" t="n">
        <v>2400</v>
      </c>
      <c r="G546" t="inlineStr">
        <is>
          <t>N</t>
        </is>
      </c>
      <c r="H546" t="inlineStr"/>
      <c r="I546" t="inlineStr">
        <is>
          <t>none</t>
        </is>
      </c>
      <c r="J546" t="inlineStr">
        <is>
          <t>candidate</t>
        </is>
      </c>
      <c r="K546" t="inlineStr">
        <is>
          <t>Medium</t>
        </is>
      </c>
      <c r="L546" t="inlineStr">
        <is>
          <t>dsuk/2025/happily-ever-after-slider-series/beauty-and-the-beast</t>
        </is>
      </c>
    </row>
    <row r="547">
      <c r="A547" t="inlineStr">
        <is>
          <t>PHS-0207</t>
        </is>
      </c>
      <c r="B547" t="n">
        <v>3</v>
      </c>
      <c r="C547" t="inlineStr"/>
      <c r="D547" t="inlineStr">
        <is>
          <t>Hercules 'Happily Ever After' Limited Edition Slider Pin</t>
        </is>
      </c>
      <c r="E547" t="inlineStr"/>
      <c r="F547" t="n">
        <v>2400</v>
      </c>
      <c r="G547" t="inlineStr">
        <is>
          <t>N</t>
        </is>
      </c>
      <c r="H547" t="inlineStr"/>
      <c r="I547" t="inlineStr">
        <is>
          <t>none</t>
        </is>
      </c>
      <c r="J547" t="inlineStr">
        <is>
          <t>candidate</t>
        </is>
      </c>
      <c r="K547" t="inlineStr">
        <is>
          <t>Medium</t>
        </is>
      </c>
      <c r="L547" t="inlineStr">
        <is>
          <t>dsuk/2025/happily-ever-after-slider-series/hercules</t>
        </is>
      </c>
    </row>
    <row r="548">
      <c r="A548" t="inlineStr">
        <is>
          <t>PHS-0207</t>
        </is>
      </c>
      <c r="B548" t="n">
        <v>4</v>
      </c>
      <c r="C548" t="inlineStr"/>
      <c r="D548" t="inlineStr">
        <is>
          <t>Lady and the Tramp Happily Ever After Limited Edition Slider Pin, 8 of 12</t>
        </is>
      </c>
      <c r="E548" t="inlineStr"/>
      <c r="F548" t="n">
        <v>2400</v>
      </c>
      <c r="G548" t="inlineStr">
        <is>
          <t>N</t>
        </is>
      </c>
      <c r="H548" t="inlineStr"/>
      <c r="I548" t="inlineStr">
        <is>
          <t>none</t>
        </is>
      </c>
      <c r="J548" t="inlineStr">
        <is>
          <t>candidate</t>
        </is>
      </c>
      <c r="K548" t="inlineStr">
        <is>
          <t>Medium</t>
        </is>
      </c>
      <c r="L548" t="inlineStr">
        <is>
          <t>dsuk/2025/happily-ever-after-slider-series/lady-and-the-tramp</t>
        </is>
      </c>
    </row>
    <row r="549">
      <c r="A549" t="inlineStr">
        <is>
          <t>PHS-0207</t>
        </is>
      </c>
      <c r="B549" t="n">
        <v>5</v>
      </c>
      <c r="C549" t="inlineStr"/>
      <c r="D549" t="inlineStr">
        <is>
          <t>Mickey Mouse and Friends Happily Ever After Pin</t>
        </is>
      </c>
      <c r="E549" t="inlineStr"/>
      <c r="F549" t="n">
        <v>2400</v>
      </c>
      <c r="G549" t="inlineStr">
        <is>
          <t>N</t>
        </is>
      </c>
      <c r="H549" t="inlineStr"/>
      <c r="I549" t="inlineStr">
        <is>
          <t>none</t>
        </is>
      </c>
      <c r="J549" t="inlineStr">
        <is>
          <t>candidate</t>
        </is>
      </c>
      <c r="K549" t="inlineStr">
        <is>
          <t>Low</t>
        </is>
      </c>
      <c r="L549" t="inlineStr">
        <is>
          <t>dsuk/2025/happily-ever-after-slider-series/mickey-mouse-and-friends</t>
        </is>
      </c>
    </row>
    <row r="550">
      <c r="A550" t="inlineStr">
        <is>
          <t>PHS-0207</t>
        </is>
      </c>
      <c r="B550" t="n">
        <v>6</v>
      </c>
      <c r="C550" t="inlineStr"/>
      <c r="D550" t="inlineStr">
        <is>
          <t>Robin Hood 'Happily Ever After' Limited Edition Slider Pin</t>
        </is>
      </c>
      <c r="E550" t="inlineStr"/>
      <c r="F550" t="n">
        <v>2400</v>
      </c>
      <c r="G550" t="inlineStr">
        <is>
          <t>N</t>
        </is>
      </c>
      <c r="H550" t="inlineStr"/>
      <c r="I550" t="inlineStr">
        <is>
          <t>none</t>
        </is>
      </c>
      <c r="J550" t="inlineStr">
        <is>
          <t>candidate</t>
        </is>
      </c>
      <c r="K550" t="inlineStr">
        <is>
          <t>Medium</t>
        </is>
      </c>
      <c r="L550" t="inlineStr">
        <is>
          <t>dsuk/2025/happily-ever-after-slider-series/robin-hood</t>
        </is>
      </c>
    </row>
    <row r="551">
      <c r="A551" t="inlineStr">
        <is>
          <t>PHS-0207</t>
        </is>
      </c>
      <c r="B551" t="n">
        <v>7</v>
      </c>
      <c r="C551" t="inlineStr"/>
      <c r="D551" t="inlineStr">
        <is>
          <t>Sleeping Beauty 'Happily Ever After' Limited Edition Slider Pin</t>
        </is>
      </c>
      <c r="E551" t="inlineStr"/>
      <c r="F551" t="n">
        <v>2400</v>
      </c>
      <c r="G551" t="inlineStr">
        <is>
          <t>N</t>
        </is>
      </c>
      <c r="H551" t="inlineStr"/>
      <c r="I551" t="inlineStr">
        <is>
          <t>none</t>
        </is>
      </c>
      <c r="J551" t="inlineStr">
        <is>
          <t>candidate</t>
        </is>
      </c>
      <c r="K551" t="inlineStr">
        <is>
          <t>Medium</t>
        </is>
      </c>
      <c r="L551" t="inlineStr">
        <is>
          <t>dsuk/2025/happily-ever-after-slider-series/sleeping-beauty</t>
        </is>
      </c>
    </row>
    <row r="552">
      <c r="A552" t="inlineStr">
        <is>
          <t>PHS-0207</t>
        </is>
      </c>
      <c r="B552" t="n">
        <v>8</v>
      </c>
      <c r="C552" t="inlineStr"/>
      <c r="D552" t="inlineStr">
        <is>
          <t>Snow White and the Seven Dwarfs 'Happily Ever After' Slider Pin</t>
        </is>
      </c>
      <c r="E552" t="inlineStr"/>
      <c r="F552" t="inlineStr"/>
      <c r="G552" t="inlineStr">
        <is>
          <t>N</t>
        </is>
      </c>
      <c r="H552" t="inlineStr"/>
      <c r="I552" t="inlineStr">
        <is>
          <t>none</t>
        </is>
      </c>
      <c r="J552" t="inlineStr">
        <is>
          <t>candidate</t>
        </is>
      </c>
      <c r="K552" t="inlineStr">
        <is>
          <t>Low</t>
        </is>
      </c>
      <c r="L552" t="inlineStr">
        <is>
          <t>dsuk/2025/happily-ever-after-slider-series/snow-white-and-the-seven-dwarfs</t>
        </is>
      </c>
    </row>
    <row r="553">
      <c r="A553" t="inlineStr">
        <is>
          <t>PHS-0207</t>
        </is>
      </c>
      <c r="B553" t="n">
        <v>9</v>
      </c>
      <c r="C553" t="inlineStr"/>
      <c r="D553" t="inlineStr">
        <is>
          <t>The Lion King 'Happily Ever After' Limited Edition Slider Pin</t>
        </is>
      </c>
      <c r="E553" t="inlineStr"/>
      <c r="F553" t="n">
        <v>2400</v>
      </c>
      <c r="G553" t="inlineStr">
        <is>
          <t>N</t>
        </is>
      </c>
      <c r="H553" t="inlineStr"/>
      <c r="I553" t="inlineStr">
        <is>
          <t>none</t>
        </is>
      </c>
      <c r="J553" t="inlineStr">
        <is>
          <t>candidate</t>
        </is>
      </c>
      <c r="K553" t="inlineStr">
        <is>
          <t>Medium</t>
        </is>
      </c>
      <c r="L553" t="inlineStr">
        <is>
          <t>dsuk/2025/happily-ever-after-slider-series/the-lion-king</t>
        </is>
      </c>
    </row>
    <row r="554">
      <c r="A554" t="inlineStr">
        <is>
          <t>PHS-0207</t>
        </is>
      </c>
      <c r="B554" t="n">
        <v>10</v>
      </c>
      <c r="C554" t="inlineStr">
        <is>
          <t>Animal; Beaker; Dr. Bunsen Honeydew; Fozzie Bear; Kermit the Frog; Miss Piggy</t>
        </is>
      </c>
      <c r="D554" t="inlineStr">
        <is>
          <t>Animal &amp; Beaker &amp; Dr. Bunsen Honeydew &amp; Fozzie Bear &amp; Kermit the Frog &amp; Miss Piggy – 'Happily Ever After' Limited Edition Slider Pin series</t>
        </is>
      </c>
      <c r="E554" t="inlineStr"/>
      <c r="F554" t="n">
        <v>2400</v>
      </c>
      <c r="G554" t="inlineStr">
        <is>
          <t>N</t>
        </is>
      </c>
      <c r="H554" t="inlineStr"/>
      <c r="I554" t="inlineStr">
        <is>
          <t>none</t>
        </is>
      </c>
      <c r="J554" t="inlineStr">
        <is>
          <t>candidate</t>
        </is>
      </c>
      <c r="K554" t="inlineStr">
        <is>
          <t>Medium</t>
        </is>
      </c>
      <c r="L554" t="inlineStr">
        <is>
          <t>dsuk/2025/happily-ever-after-slider-series/the-muppets</t>
        </is>
      </c>
    </row>
    <row r="555">
      <c r="A555" t="inlineStr">
        <is>
          <t>PHS-0207</t>
        </is>
      </c>
      <c r="B555" t="n">
        <v>11</v>
      </c>
      <c r="C555" t="inlineStr"/>
      <c r="D555" t="inlineStr">
        <is>
          <t>The Princess and the Frog 'Happily Ever After' Limited Edition Slider Pin</t>
        </is>
      </c>
      <c r="E555" t="inlineStr"/>
      <c r="F555" t="n">
        <v>2400</v>
      </c>
      <c r="G555" t="inlineStr">
        <is>
          <t>N</t>
        </is>
      </c>
      <c r="H555" t="inlineStr"/>
      <c r="I555" t="inlineStr">
        <is>
          <t>none</t>
        </is>
      </c>
      <c r="J555" t="inlineStr">
        <is>
          <t>candidate</t>
        </is>
      </c>
      <c r="K555" t="inlineStr">
        <is>
          <t>Medium</t>
        </is>
      </c>
      <c r="L555" t="inlineStr">
        <is>
          <t>dsuk/2025/happily-ever-after-slider-series/the-princess-and-the-frog</t>
        </is>
      </c>
    </row>
    <row r="556">
      <c r="A556" t="inlineStr">
        <is>
          <t>PHS-0208</t>
        </is>
      </c>
      <c r="B556" t="n">
        <v>1</v>
      </c>
      <c r="C556" t="inlineStr">
        <is>
          <t>Kanga; Roo</t>
        </is>
      </c>
      <c r="D556" t="inlineStr">
        <is>
          <t>Kanga &amp; Roo – Kanga and Roo Mother's Day 2025 Limited Edition Pin</t>
        </is>
      </c>
      <c r="E556" t="inlineStr"/>
      <c r="F556" t="n">
        <v>500</v>
      </c>
      <c r="G556" t="inlineStr">
        <is>
          <t>N</t>
        </is>
      </c>
      <c r="H556" t="inlineStr"/>
      <c r="I556" t="inlineStr">
        <is>
          <t>none</t>
        </is>
      </c>
      <c r="J556" t="inlineStr">
        <is>
          <t>candidate</t>
        </is>
      </c>
      <c r="K556" t="inlineStr">
        <is>
          <t>Medium</t>
        </is>
      </c>
      <c r="L556" t="inlineStr">
        <is>
          <t>dsuk/2025/kanga-and-roo-mothers-day-2025/kanga-and-roo</t>
        </is>
      </c>
    </row>
    <row r="557">
      <c r="A557" t="inlineStr">
        <is>
          <t>PHS-0209</t>
        </is>
      </c>
      <c r="B557" t="n">
        <v>1</v>
      </c>
      <c r="C557" t="inlineStr">
        <is>
          <t>Stitch</t>
        </is>
      </c>
      <c r="D557" t="inlineStr">
        <is>
          <t>Stitch St. Patrick's Day 2025 Limited Release Slider Pin, Lilo &amp; Stitch</t>
        </is>
      </c>
      <c r="E557" t="inlineStr"/>
      <c r="F557" t="inlineStr"/>
      <c r="G557" t="inlineStr">
        <is>
          <t>N</t>
        </is>
      </c>
      <c r="H557" t="inlineStr"/>
      <c r="I557" t="inlineStr">
        <is>
          <t>none</t>
        </is>
      </c>
      <c r="J557" t="inlineStr">
        <is>
          <t>candidate</t>
        </is>
      </c>
      <c r="K557" t="inlineStr">
        <is>
          <t>High</t>
        </is>
      </c>
      <c r="L557" t="inlineStr">
        <is>
          <t>dsuk/2025/stitch-st-patricks-day-2025-slider/stitch</t>
        </is>
      </c>
    </row>
    <row r="558">
      <c r="A558" t="inlineStr">
        <is>
          <t>PHS-0210</t>
        </is>
      </c>
      <c r="B558" t="n">
        <v>1</v>
      </c>
      <c r="C558" t="inlineStr">
        <is>
          <t>Hamm</t>
        </is>
      </c>
      <c r="D558" t="inlineStr">
        <is>
          <t>Hamm – Toy Story 30th Anniversary Limited Edition Pin Set</t>
        </is>
      </c>
      <c r="E558" t="inlineStr"/>
      <c r="F558" t="inlineStr"/>
      <c r="G558" t="inlineStr">
        <is>
          <t>N</t>
        </is>
      </c>
      <c r="H558" t="inlineStr"/>
      <c r="I558" t="inlineStr">
        <is>
          <t>none</t>
        </is>
      </c>
      <c r="J558" t="inlineStr">
        <is>
          <t>candidate</t>
        </is>
      </c>
      <c r="K558" t="inlineStr">
        <is>
          <t>Medium</t>
        </is>
      </c>
      <c r="L558" t="inlineStr">
        <is>
          <t>dsuk/2025/toy-story-30th-anniversary-le-pin-set/hamm</t>
        </is>
      </c>
    </row>
    <row r="559">
      <c r="A559" t="inlineStr">
        <is>
          <t>PHS-0210</t>
        </is>
      </c>
      <c r="B559" t="n">
        <v>2</v>
      </c>
      <c r="C559" t="inlineStr">
        <is>
          <t>Rex</t>
        </is>
      </c>
      <c r="D559" t="inlineStr">
        <is>
          <t>Rex – Toy Story 30th Anniversary Limited Edition Pin Set</t>
        </is>
      </c>
      <c r="E559" t="inlineStr"/>
      <c r="F559" t="inlineStr"/>
      <c r="G559" t="inlineStr">
        <is>
          <t>N</t>
        </is>
      </c>
      <c r="H559" t="inlineStr"/>
      <c r="I559" t="inlineStr">
        <is>
          <t>none</t>
        </is>
      </c>
      <c r="J559" t="inlineStr">
        <is>
          <t>candidate</t>
        </is>
      </c>
      <c r="K559" t="inlineStr">
        <is>
          <t>Medium</t>
        </is>
      </c>
      <c r="L559" t="inlineStr">
        <is>
          <t>dsuk/2025/toy-story-30th-anniversary-le-pin-set/rex</t>
        </is>
      </c>
    </row>
    <row r="560">
      <c r="A560" t="inlineStr">
        <is>
          <t>PHS-0210</t>
        </is>
      </c>
      <c r="B560" t="n">
        <v>3</v>
      </c>
      <c r="C560" t="inlineStr">
        <is>
          <t>Woody</t>
        </is>
      </c>
      <c r="D560" t="inlineStr">
        <is>
          <t>Woody – Toy Story 30th Anniversary Limited Edition Pin Set</t>
        </is>
      </c>
      <c r="E560" t="inlineStr"/>
      <c r="F560" t="inlineStr"/>
      <c r="G560" t="inlineStr">
        <is>
          <t>N</t>
        </is>
      </c>
      <c r="H560" t="inlineStr"/>
      <c r="I560" t="inlineStr">
        <is>
          <t>none</t>
        </is>
      </c>
      <c r="J560" t="inlineStr">
        <is>
          <t>candidate</t>
        </is>
      </c>
      <c r="K560" t="inlineStr">
        <is>
          <t>Medium</t>
        </is>
      </c>
      <c r="L560" t="inlineStr">
        <is>
          <t>dsuk/2025/toy-story-30th-anniversary-le-pin-set/woody</t>
        </is>
      </c>
    </row>
    <row r="561">
      <c r="A561" t="inlineStr">
        <is>
          <t>PHS-0211</t>
        </is>
      </c>
      <c r="B561" t="n">
        <v>1</v>
      </c>
      <c r="C561" t="inlineStr">
        <is>
          <t>Lenny; Rex; Slinky Dog; Woody</t>
        </is>
      </c>
      <c r="D561" t="inlineStr">
        <is>
          <t>Toys Story 30th Anniversary Limited Release Pin</t>
        </is>
      </c>
      <c r="E561" t="inlineStr"/>
      <c r="F561" t="inlineStr"/>
      <c r="G561" t="inlineStr">
        <is>
          <t>N</t>
        </is>
      </c>
      <c r="H561" t="inlineStr"/>
      <c r="I561" t="inlineStr">
        <is>
          <t>none</t>
        </is>
      </c>
      <c r="J561" t="inlineStr">
        <is>
          <t>candidate</t>
        </is>
      </c>
      <c r="K561" t="inlineStr">
        <is>
          <t>Medium</t>
        </is>
      </c>
      <c r="L561" t="inlineStr">
        <is>
          <t>dsuk/2025/toy-story-30th-anniversary-lr-pin/woody-rex-slinky-lenny</t>
        </is>
      </c>
    </row>
    <row r="562">
      <c r="A562" t="inlineStr">
        <is>
          <t>PHS-0212</t>
        </is>
      </c>
      <c r="B562" t="n">
        <v>1</v>
      </c>
      <c r="C562" t="inlineStr">
        <is>
          <t>Baymax</t>
        </is>
      </c>
      <c r="D562" t="inlineStr">
        <is>
          <t>Baymax – Valentine's Day Limited Release Mystery Pin Set</t>
        </is>
      </c>
      <c r="E562" t="inlineStr"/>
      <c r="F562" t="inlineStr"/>
      <c r="G562" t="inlineStr">
        <is>
          <t>N</t>
        </is>
      </c>
      <c r="H562" t="inlineStr"/>
      <c r="I562" t="inlineStr">
        <is>
          <t>none</t>
        </is>
      </c>
      <c r="J562" t="inlineStr">
        <is>
          <t>candidate</t>
        </is>
      </c>
      <c r="K562" t="inlineStr">
        <is>
          <t>High</t>
        </is>
      </c>
      <c r="L562" t="inlineStr">
        <is>
          <t>dsuk/2026/valentines-day-2026-mystery-set/baymax</t>
        </is>
      </c>
    </row>
    <row r="563">
      <c r="A563" t="inlineStr">
        <is>
          <t>PHS-0212</t>
        </is>
      </c>
      <c r="B563" t="n">
        <v>2</v>
      </c>
      <c r="C563" t="inlineStr">
        <is>
          <t>Fozzie Bear</t>
        </is>
      </c>
      <c r="D563" t="inlineStr">
        <is>
          <t>Fozzie Bear – Valentine's Day Limited Release Mystery Pin Set</t>
        </is>
      </c>
      <c r="E563" t="inlineStr"/>
      <c r="F563" t="inlineStr"/>
      <c r="G563" t="inlineStr">
        <is>
          <t>N</t>
        </is>
      </c>
      <c r="H563" t="inlineStr"/>
      <c r="I563" t="inlineStr">
        <is>
          <t>none</t>
        </is>
      </c>
      <c r="J563" t="inlineStr">
        <is>
          <t>candidate</t>
        </is>
      </c>
      <c r="K563" t="inlineStr">
        <is>
          <t>High</t>
        </is>
      </c>
      <c r="L563" t="inlineStr">
        <is>
          <t>dsuk/2026/valentines-day-2026-mystery-set/fozzie-bear</t>
        </is>
      </c>
    </row>
    <row r="564">
      <c r="A564" t="inlineStr">
        <is>
          <t>PHS-0212</t>
        </is>
      </c>
      <c r="B564" t="n">
        <v>3</v>
      </c>
      <c r="C564" t="inlineStr">
        <is>
          <t>Genie</t>
        </is>
      </c>
      <c r="D564" t="inlineStr">
        <is>
          <t>Genie – Valentine's Day Limited Release Mystery Pin Set</t>
        </is>
      </c>
      <c r="E564" t="inlineStr"/>
      <c r="F564" t="inlineStr"/>
      <c r="G564" t="inlineStr">
        <is>
          <t>N</t>
        </is>
      </c>
      <c r="H564" t="inlineStr"/>
      <c r="I564" t="inlineStr">
        <is>
          <t>none</t>
        </is>
      </c>
      <c r="J564" t="inlineStr">
        <is>
          <t>candidate</t>
        </is>
      </c>
      <c r="K564" t="inlineStr">
        <is>
          <t>High</t>
        </is>
      </c>
      <c r="L564" t="inlineStr">
        <is>
          <t>dsuk/2026/valentines-day-2026-mystery-set/genie</t>
        </is>
      </c>
    </row>
    <row r="565">
      <c r="A565" t="inlineStr">
        <is>
          <t>PHS-0212</t>
        </is>
      </c>
      <c r="B565" t="n">
        <v>4</v>
      </c>
      <c r="C565" t="inlineStr">
        <is>
          <t>Hercules</t>
        </is>
      </c>
      <c r="D565" t="inlineStr">
        <is>
          <t>Hercules – Valentine's Day Limited Release Mystery Pin Set</t>
        </is>
      </c>
      <c r="E565" t="inlineStr"/>
      <c r="F565" t="inlineStr"/>
      <c r="G565" t="inlineStr">
        <is>
          <t>N</t>
        </is>
      </c>
      <c r="H565" t="inlineStr"/>
      <c r="I565" t="inlineStr">
        <is>
          <t>none</t>
        </is>
      </c>
      <c r="J565" t="inlineStr">
        <is>
          <t>candidate</t>
        </is>
      </c>
      <c r="K565" t="inlineStr">
        <is>
          <t>High</t>
        </is>
      </c>
      <c r="L565" t="inlineStr">
        <is>
          <t>dsuk/2026/valentines-day-2026-mystery-set/hercules</t>
        </is>
      </c>
    </row>
    <row r="566">
      <c r="A566" t="inlineStr">
        <is>
          <t>PHS-0212</t>
        </is>
      </c>
      <c r="B566" t="n">
        <v>5</v>
      </c>
      <c r="C566" t="inlineStr">
        <is>
          <t>Lucky</t>
        </is>
      </c>
      <c r="D566" t="inlineStr">
        <is>
          <t>Lucky – Valentine's Day Limited Release Mystery Pin Set</t>
        </is>
      </c>
      <c r="E566" t="inlineStr"/>
      <c r="F566" t="inlineStr"/>
      <c r="G566" t="inlineStr">
        <is>
          <t>N</t>
        </is>
      </c>
      <c r="H566" t="inlineStr"/>
      <c r="I566" t="inlineStr">
        <is>
          <t>none</t>
        </is>
      </c>
      <c r="J566" t="inlineStr">
        <is>
          <t>candidate</t>
        </is>
      </c>
      <c r="K566" t="inlineStr">
        <is>
          <t>High</t>
        </is>
      </c>
      <c r="L566" t="inlineStr">
        <is>
          <t>dsuk/2026/valentines-day-2026-mystery-set/lucky</t>
        </is>
      </c>
    </row>
    <row r="567">
      <c r="A567" t="inlineStr">
        <is>
          <t>PHS-0212</t>
        </is>
      </c>
      <c r="B567" t="n">
        <v>6</v>
      </c>
      <c r="C567" t="inlineStr">
        <is>
          <t>Mad Hatter</t>
        </is>
      </c>
      <c r="D567" t="inlineStr">
        <is>
          <t>Mad Hatter – Valentine's Day Limited Release Mystery Pin Set</t>
        </is>
      </c>
      <c r="E567" t="inlineStr"/>
      <c r="F567" t="inlineStr"/>
      <c r="G567" t="inlineStr">
        <is>
          <t>N</t>
        </is>
      </c>
      <c r="H567" t="inlineStr"/>
      <c r="I567" t="inlineStr">
        <is>
          <t>none</t>
        </is>
      </c>
      <c r="J567" t="inlineStr">
        <is>
          <t>candidate</t>
        </is>
      </c>
      <c r="K567" t="inlineStr">
        <is>
          <t>High</t>
        </is>
      </c>
      <c r="L567" t="inlineStr">
        <is>
          <t>dsuk/2026/valentines-day-2026-mystery-set/mad-hatter</t>
        </is>
      </c>
    </row>
    <row r="568">
      <c r="A568" t="inlineStr">
        <is>
          <t>PHS-0212</t>
        </is>
      </c>
      <c r="B568" t="n">
        <v>7</v>
      </c>
      <c r="C568" t="inlineStr">
        <is>
          <t>Marie</t>
        </is>
      </c>
      <c r="D568" t="inlineStr">
        <is>
          <t>Marie – Valentine's Day Limited Release Mystery Pin Set</t>
        </is>
      </c>
      <c r="E568" t="inlineStr"/>
      <c r="F568" t="inlineStr"/>
      <c r="G568" t="inlineStr">
        <is>
          <t>N</t>
        </is>
      </c>
      <c r="H568" t="inlineStr"/>
      <c r="I568" t="inlineStr">
        <is>
          <t>none</t>
        </is>
      </c>
      <c r="J568" t="inlineStr">
        <is>
          <t>candidate</t>
        </is>
      </c>
      <c r="K568" t="inlineStr">
        <is>
          <t>High</t>
        </is>
      </c>
      <c r="L568" t="inlineStr">
        <is>
          <t>dsuk/2026/valentines-day-2026-mystery-set/marie</t>
        </is>
      </c>
    </row>
    <row r="569">
      <c r="A569" t="inlineStr">
        <is>
          <t>PHS-0212</t>
        </is>
      </c>
      <c r="B569" t="n">
        <v>8</v>
      </c>
      <c r="C569" t="inlineStr">
        <is>
          <t>Powerline</t>
        </is>
      </c>
      <c r="D569" t="inlineStr">
        <is>
          <t>Powerline – Valentine's Day Limited Release Mystery Pin Set</t>
        </is>
      </c>
      <c r="E569" t="inlineStr"/>
      <c r="F569" t="inlineStr"/>
      <c r="G569" t="inlineStr">
        <is>
          <t>N</t>
        </is>
      </c>
      <c r="H569" t="inlineStr"/>
      <c r="I569" t="inlineStr">
        <is>
          <t>none</t>
        </is>
      </c>
      <c r="J569" t="inlineStr">
        <is>
          <t>candidate</t>
        </is>
      </c>
      <c r="K569" t="inlineStr">
        <is>
          <t>High</t>
        </is>
      </c>
      <c r="L569" t="inlineStr">
        <is>
          <t>dsuk/2026/valentines-day-2026-mystery-set/powerline</t>
        </is>
      </c>
    </row>
    <row r="570">
      <c r="A570" t="inlineStr">
        <is>
          <t>PHS-0212</t>
        </is>
      </c>
      <c r="B570" t="n">
        <v>9</v>
      </c>
      <c r="C570" t="inlineStr">
        <is>
          <t>Stitch</t>
        </is>
      </c>
      <c r="D570" t="inlineStr">
        <is>
          <t>Stitch – Valentine's Day Limited Release Mystery Pin Set</t>
        </is>
      </c>
      <c r="E570" t="inlineStr"/>
      <c r="F570" t="inlineStr"/>
      <c r="G570" t="inlineStr">
        <is>
          <t>N</t>
        </is>
      </c>
      <c r="H570" t="inlineStr"/>
      <c r="I570" t="inlineStr">
        <is>
          <t>none</t>
        </is>
      </c>
      <c r="J570" t="inlineStr">
        <is>
          <t>candidate</t>
        </is>
      </c>
      <c r="K570" t="inlineStr">
        <is>
          <t>High</t>
        </is>
      </c>
      <c r="L570" t="inlineStr">
        <is>
          <t>dsuk/2026/valentines-day-2026-mystery-set/stitch</t>
        </is>
      </c>
    </row>
    <row r="571">
      <c r="A571" t="inlineStr">
        <is>
          <t>PHS-0212</t>
        </is>
      </c>
      <c r="B571" t="n">
        <v>10</v>
      </c>
      <c r="C571" t="inlineStr">
        <is>
          <t>Winnie the Pooh</t>
        </is>
      </c>
      <c r="D571" t="inlineStr">
        <is>
          <t>Winnie the Pooh – Valentine's Day Limited Release Mystery Pin Set</t>
        </is>
      </c>
      <c r="E571" t="inlineStr"/>
      <c r="F571" t="inlineStr"/>
      <c r="G571" t="inlineStr">
        <is>
          <t>N</t>
        </is>
      </c>
      <c r="H571" t="inlineStr"/>
      <c r="I571" t="inlineStr">
        <is>
          <t>none</t>
        </is>
      </c>
      <c r="J571" t="inlineStr">
        <is>
          <t>candidate</t>
        </is>
      </c>
      <c r="K571" t="inlineStr">
        <is>
          <t>High</t>
        </is>
      </c>
      <c r="L571" t="inlineStr">
        <is>
          <t>dsuk/2026/valentines-day-2026-mystery-set/winnie-the-pooh</t>
        </is>
      </c>
    </row>
    <row r="572">
      <c r="A572" t="inlineStr">
        <is>
          <t>PHS-0213</t>
        </is>
      </c>
      <c r="B572" t="n">
        <v>1</v>
      </c>
      <c r="C572" t="inlineStr">
        <is>
          <t>Mushu</t>
        </is>
      </c>
      <c r="D572" t="inlineStr">
        <is>
          <t>Mushu Lunar New Year 2024 Limited Release Pin, Mulan</t>
        </is>
      </c>
      <c r="E572" t="inlineStr"/>
      <c r="F572" t="inlineStr"/>
      <c r="G572" t="inlineStr">
        <is>
          <t>N</t>
        </is>
      </c>
      <c r="H572" t="inlineStr"/>
      <c r="I572" t="inlineStr">
        <is>
          <t>none</t>
        </is>
      </c>
      <c r="J572" t="inlineStr">
        <is>
          <t>candidate</t>
        </is>
      </c>
      <c r="K572" t="inlineStr">
        <is>
          <t>High</t>
        </is>
      </c>
      <c r="L572" t="inlineStr">
        <is>
          <t>dsuk/2024/lunar-new-year-2024-mushu/mushu</t>
        </is>
      </c>
    </row>
    <row r="573">
      <c r="A573" t="inlineStr">
        <is>
          <t>PHS-0214</t>
        </is>
      </c>
      <c r="B573" t="n">
        <v>1</v>
      </c>
      <c r="C573" t="inlineStr">
        <is>
          <t>Abu</t>
        </is>
      </c>
      <c r="D573" t="inlineStr">
        <is>
          <t>Abu Disney Magical Collections Limited Edition Pin</t>
        </is>
      </c>
      <c r="E573" t="inlineStr"/>
      <c r="F573" t="n">
        <v>1100</v>
      </c>
      <c r="G573" t="inlineStr">
        <is>
          <t>N</t>
        </is>
      </c>
      <c r="H573" t="inlineStr"/>
      <c r="I573" t="inlineStr">
        <is>
          <t>none</t>
        </is>
      </c>
      <c r="J573" t="inlineStr">
        <is>
          <t>candidate</t>
        </is>
      </c>
      <c r="K573" t="inlineStr">
        <is>
          <t>Low</t>
        </is>
      </c>
      <c r="L573" t="inlineStr">
        <is>
          <t>dsuk/2024/disney-magical-collections-2024/abu</t>
        </is>
      </c>
    </row>
    <row r="574">
      <c r="A574" t="inlineStr">
        <is>
          <t>PHS-0214</t>
        </is>
      </c>
      <c r="B574" t="n">
        <v>2</v>
      </c>
      <c r="C574" t="inlineStr">
        <is>
          <t>Belle; Chip</t>
        </is>
      </c>
      <c r="D574" t="inlineStr">
        <is>
          <t>Belle and Chip Magical Collections Pin</t>
        </is>
      </c>
      <c r="E574" t="inlineStr"/>
      <c r="F574" t="n">
        <v>1100</v>
      </c>
      <c r="G574" t="inlineStr">
        <is>
          <t>N</t>
        </is>
      </c>
      <c r="H574" t="inlineStr"/>
      <c r="I574" t="inlineStr">
        <is>
          <t>none</t>
        </is>
      </c>
      <c r="J574" t="inlineStr">
        <is>
          <t>candidate</t>
        </is>
      </c>
      <c r="K574" t="inlineStr">
        <is>
          <t>High</t>
        </is>
      </c>
      <c r="L574" t="inlineStr">
        <is>
          <t>dsuk/2024/disney-magical-collections-2024/belle-and-chip</t>
        </is>
      </c>
    </row>
    <row r="575">
      <c r="A575" t="inlineStr">
        <is>
          <t>PHS-0214</t>
        </is>
      </c>
      <c r="B575" t="n">
        <v>3</v>
      </c>
      <c r="C575" t="inlineStr">
        <is>
          <t>Chip; Dale</t>
        </is>
      </c>
      <c r="D575" t="inlineStr">
        <is>
          <t>Chip 'n Dale Disney Magical Collections Pin</t>
        </is>
      </c>
      <c r="E575" t="inlineStr"/>
      <c r="F575" t="n">
        <v>1100</v>
      </c>
      <c r="G575" t="inlineStr">
        <is>
          <t>N</t>
        </is>
      </c>
      <c r="H575" t="inlineStr"/>
      <c r="I575" t="inlineStr">
        <is>
          <t>none</t>
        </is>
      </c>
      <c r="J575" t="inlineStr">
        <is>
          <t>candidate</t>
        </is>
      </c>
      <c r="K575" t="inlineStr">
        <is>
          <t>Low</t>
        </is>
      </c>
      <c r="L575" t="inlineStr">
        <is>
          <t>dsuk/2024/disney-magical-collections-2024/chip-n-dale</t>
        </is>
      </c>
    </row>
    <row r="576">
      <c r="A576" t="inlineStr">
        <is>
          <t>PHS-0214</t>
        </is>
      </c>
      <c r="B576" t="n">
        <v>4</v>
      </c>
      <c r="C576" t="inlineStr">
        <is>
          <t>Dopey; Grumpy</t>
        </is>
      </c>
      <c r="D576" t="inlineStr">
        <is>
          <t>Dopey and Grumpy Disney Magical Collections Limited Edition Pin</t>
        </is>
      </c>
      <c r="E576" t="inlineStr"/>
      <c r="F576" t="n">
        <v>1100</v>
      </c>
      <c r="G576" t="inlineStr">
        <is>
          <t>N</t>
        </is>
      </c>
      <c r="H576" t="inlineStr"/>
      <c r="I576" t="inlineStr">
        <is>
          <t>none</t>
        </is>
      </c>
      <c r="J576" t="inlineStr">
        <is>
          <t>candidate</t>
        </is>
      </c>
      <c r="K576" t="inlineStr">
        <is>
          <t>Low</t>
        </is>
      </c>
      <c r="L576" t="inlineStr">
        <is>
          <t>dsuk/2024/disney-magical-collections-2024/dopey-and-grumpy</t>
        </is>
      </c>
    </row>
    <row r="577">
      <c r="A577" t="inlineStr">
        <is>
          <t>PHS-0214</t>
        </is>
      </c>
      <c r="B577" t="n">
        <v>5</v>
      </c>
      <c r="C577" t="inlineStr">
        <is>
          <t>Dug</t>
        </is>
      </c>
      <c r="D577" t="inlineStr">
        <is>
          <t>UP Dug Disney Magical Collections Pin</t>
        </is>
      </c>
      <c r="E577" t="inlineStr"/>
      <c r="F577" t="n">
        <v>1100</v>
      </c>
      <c r="G577" t="inlineStr">
        <is>
          <t>N</t>
        </is>
      </c>
      <c r="H577" t="inlineStr"/>
      <c r="I577" t="inlineStr">
        <is>
          <t>none</t>
        </is>
      </c>
      <c r="J577" t="inlineStr">
        <is>
          <t>candidate</t>
        </is>
      </c>
      <c r="K577" t="inlineStr">
        <is>
          <t>High</t>
        </is>
      </c>
      <c r="L577" t="inlineStr">
        <is>
          <t>dsuk/2024/disney-magical-collections-2024/dug</t>
        </is>
      </c>
    </row>
    <row r="578">
      <c r="A578" t="inlineStr">
        <is>
          <t>PHS-0214</t>
        </is>
      </c>
      <c r="B578" t="n">
        <v>6</v>
      </c>
      <c r="C578" t="inlineStr">
        <is>
          <t>Jack-Jack; Raccoon</t>
        </is>
      </c>
      <c r="D578" t="inlineStr">
        <is>
          <t>Jack-Jack and Raccoon Disney Magical Collections Limited Edition Pin</t>
        </is>
      </c>
      <c r="E578" t="inlineStr"/>
      <c r="F578" t="n">
        <v>1100</v>
      </c>
      <c r="G578" t="inlineStr">
        <is>
          <t>N</t>
        </is>
      </c>
      <c r="H578" t="inlineStr"/>
      <c r="I578" t="inlineStr">
        <is>
          <t>none</t>
        </is>
      </c>
      <c r="J578" t="inlineStr">
        <is>
          <t>candidate</t>
        </is>
      </c>
      <c r="K578" t="inlineStr">
        <is>
          <t>Low</t>
        </is>
      </c>
      <c r="L578" t="inlineStr">
        <is>
          <t>dsuk/2024/disney-magical-collections-2024/jack-jack-and-raccoon</t>
        </is>
      </c>
    </row>
    <row r="579">
      <c r="A579" t="inlineStr">
        <is>
          <t>PHS-0214</t>
        </is>
      </c>
      <c r="B579" t="n">
        <v>7</v>
      </c>
      <c r="C579" t="inlineStr">
        <is>
          <t>Meeko; Percy</t>
        </is>
      </c>
      <c r="D579" t="inlineStr">
        <is>
          <t>Meeko and Percy Disney Magical Collections Limited Edition Pin</t>
        </is>
      </c>
      <c r="E579" t="inlineStr"/>
      <c r="F579" t="n">
        <v>1100</v>
      </c>
      <c r="G579" t="inlineStr">
        <is>
          <t>N</t>
        </is>
      </c>
      <c r="H579" t="inlineStr"/>
      <c r="I579" t="inlineStr">
        <is>
          <t>none</t>
        </is>
      </c>
      <c r="J579" t="inlineStr">
        <is>
          <t>candidate</t>
        </is>
      </c>
      <c r="K579" t="inlineStr">
        <is>
          <t>Low</t>
        </is>
      </c>
      <c r="L579" t="inlineStr">
        <is>
          <t>dsuk/2024/disney-magical-collections-2024/meeko-and-percy</t>
        </is>
      </c>
    </row>
    <row r="580">
      <c r="A580" t="inlineStr">
        <is>
          <t>PHS-0214</t>
        </is>
      </c>
      <c r="B580" t="n">
        <v>8</v>
      </c>
      <c r="C580" t="inlineStr">
        <is>
          <t>Queen of Hearts</t>
        </is>
      </c>
      <c r="D580" t="inlineStr">
        <is>
          <t>Queen of Hearts Disney Magical Collections Limited Edition Pin</t>
        </is>
      </c>
      <c r="E580" t="inlineStr"/>
      <c r="F580" t="n">
        <v>1100</v>
      </c>
      <c r="G580" t="inlineStr">
        <is>
          <t>N</t>
        </is>
      </c>
      <c r="H580" t="inlineStr"/>
      <c r="I580" t="inlineStr">
        <is>
          <t>none</t>
        </is>
      </c>
      <c r="J580" t="inlineStr">
        <is>
          <t>candidate</t>
        </is>
      </c>
      <c r="K580" t="inlineStr">
        <is>
          <t>Low</t>
        </is>
      </c>
      <c r="L580" t="inlineStr">
        <is>
          <t>dsuk/2024/disney-magical-collections-2024/queen-of-hearts</t>
        </is>
      </c>
    </row>
    <row r="581">
      <c r="A581" t="inlineStr">
        <is>
          <t>PHS-0214</t>
        </is>
      </c>
      <c r="B581" t="n">
        <v>9</v>
      </c>
      <c r="C581" t="inlineStr">
        <is>
          <t>Emile; Remy</t>
        </is>
      </c>
      <c r="D581" t="inlineStr">
        <is>
          <t>Remy and Emile Disney Magical Collections Limited Edition Pin</t>
        </is>
      </c>
      <c r="E581" t="inlineStr"/>
      <c r="F581" t="n">
        <v>1100</v>
      </c>
      <c r="G581" t="inlineStr">
        <is>
          <t>N</t>
        </is>
      </c>
      <c r="H581" t="inlineStr"/>
      <c r="I581" t="inlineStr">
        <is>
          <t>none</t>
        </is>
      </c>
      <c r="J581" t="inlineStr">
        <is>
          <t>candidate</t>
        </is>
      </c>
      <c r="K581" t="inlineStr">
        <is>
          <t>Low</t>
        </is>
      </c>
      <c r="L581" t="inlineStr">
        <is>
          <t>dsuk/2024/disney-magical-collections-2024/remy-and-emile</t>
        </is>
      </c>
    </row>
    <row r="582">
      <c r="A582" t="inlineStr">
        <is>
          <t>PHS-0214</t>
        </is>
      </c>
      <c r="B582" t="n">
        <v>10</v>
      </c>
      <c r="C582" t="inlineStr"/>
      <c r="D582" t="inlineStr">
        <is>
          <t>The Little Mermaid Disney Magical Collections Pin</t>
        </is>
      </c>
      <c r="E582" t="inlineStr"/>
      <c r="F582" t="n">
        <v>1100</v>
      </c>
      <c r="G582" t="inlineStr">
        <is>
          <t>N</t>
        </is>
      </c>
      <c r="H582" t="inlineStr"/>
      <c r="I582" t="inlineStr">
        <is>
          <t>none</t>
        </is>
      </c>
      <c r="J582" t="inlineStr">
        <is>
          <t>candidate</t>
        </is>
      </c>
      <c r="K582" t="inlineStr">
        <is>
          <t>Low</t>
        </is>
      </c>
      <c r="L582" t="inlineStr">
        <is>
          <t>dsuk/2024/disney-magical-collections-2024/the-little-mermaid</t>
        </is>
      </c>
    </row>
    <row r="583">
      <c r="A583" t="inlineStr">
        <is>
          <t>PHS-0214</t>
        </is>
      </c>
      <c r="B583" t="n">
        <v>11</v>
      </c>
      <c r="C583" t="inlineStr">
        <is>
          <t>Pumbaa; Timon</t>
        </is>
      </c>
      <c r="D583" t="inlineStr">
        <is>
          <t>Timon and Pumbaa Disney Magical Collections Pin</t>
        </is>
      </c>
      <c r="E583" t="inlineStr"/>
      <c r="F583" t="n">
        <v>1100</v>
      </c>
      <c r="G583" t="inlineStr">
        <is>
          <t>N</t>
        </is>
      </c>
      <c r="H583" t="inlineStr"/>
      <c r="I583" t="inlineStr">
        <is>
          <t>none</t>
        </is>
      </c>
      <c r="J583" t="inlineStr">
        <is>
          <t>candidate</t>
        </is>
      </c>
      <c r="K583" t="inlineStr">
        <is>
          <t>Low</t>
        </is>
      </c>
      <c r="L583" t="inlineStr">
        <is>
          <t>dsuk/2024/disney-magical-collections-2024/timon-and-pumbaa</t>
        </is>
      </c>
    </row>
    <row r="584">
      <c r="A584" t="inlineStr">
        <is>
          <t>PHS-0214</t>
        </is>
      </c>
      <c r="B584" t="n">
        <v>12</v>
      </c>
      <c r="C584" t="inlineStr">
        <is>
          <t>Vanellope</t>
        </is>
      </c>
      <c r="D584" t="inlineStr">
        <is>
          <t>Vanellope Disney Magical Collections Limited Edition Pin</t>
        </is>
      </c>
      <c r="E584" t="inlineStr"/>
      <c r="F584" t="n">
        <v>1100</v>
      </c>
      <c r="G584" t="inlineStr">
        <is>
          <t>N</t>
        </is>
      </c>
      <c r="H584" t="inlineStr"/>
      <c r="I584" t="inlineStr">
        <is>
          <t>none</t>
        </is>
      </c>
      <c r="J584" t="inlineStr">
        <is>
          <t>candidate</t>
        </is>
      </c>
      <c r="K584" t="inlineStr">
        <is>
          <t>Low</t>
        </is>
      </c>
      <c r="L584" t="inlineStr">
        <is>
          <t>dsuk/2024/disney-magical-collections-2024/vanellope</t>
        </is>
      </c>
    </row>
    <row r="585">
      <c r="A585" t="inlineStr">
        <is>
          <t>PHS-0215</t>
        </is>
      </c>
      <c r="B585" t="n">
        <v>1</v>
      </c>
      <c r="C585" t="inlineStr"/>
      <c r="D585" t="inlineStr">
        <is>
          <t>Big Hero 6 Magical Medallions Limited Release Pin</t>
        </is>
      </c>
      <c r="E585" t="inlineStr"/>
      <c r="F585" t="n">
        <v>1250</v>
      </c>
      <c r="G585" t="inlineStr">
        <is>
          <t>N</t>
        </is>
      </c>
      <c r="H585" t="inlineStr"/>
      <c r="I585" t="inlineStr">
        <is>
          <t>none</t>
        </is>
      </c>
      <c r="J585" t="inlineStr">
        <is>
          <t>candidate</t>
        </is>
      </c>
      <c r="K585" t="inlineStr">
        <is>
          <t>High</t>
        </is>
      </c>
      <c r="L585" t="inlineStr">
        <is>
          <t>dsuk/2024/magical-medallions-jan-2024/big-hero-6</t>
        </is>
      </c>
    </row>
    <row r="586">
      <c r="A586" t="inlineStr">
        <is>
          <t>PHS-0215</t>
        </is>
      </c>
      <c r="B586" t="n">
        <v>2</v>
      </c>
      <c r="C586" t="inlineStr"/>
      <c r="D586" t="inlineStr">
        <is>
          <t>Meet the Robinsons Magical Medallions Limited Release Pin</t>
        </is>
      </c>
      <c r="E586" t="inlineStr"/>
      <c r="F586" t="n">
        <v>1250</v>
      </c>
      <c r="G586" t="inlineStr">
        <is>
          <t>N</t>
        </is>
      </c>
      <c r="H586" t="inlineStr"/>
      <c r="I586" t="inlineStr">
        <is>
          <t>none</t>
        </is>
      </c>
      <c r="J586" t="inlineStr">
        <is>
          <t>candidate</t>
        </is>
      </c>
      <c r="K586" t="inlineStr">
        <is>
          <t>Medium</t>
        </is>
      </c>
      <c r="L586" t="inlineStr">
        <is>
          <t>dsuk/2024/magical-medallions-jan-2024/meet-the-robinsons</t>
        </is>
      </c>
    </row>
    <row r="587">
      <c r="A587" t="inlineStr">
        <is>
          <t>PHS-0216</t>
        </is>
      </c>
      <c r="B587" t="n">
        <v>1</v>
      </c>
      <c r="C587" t="inlineStr">
        <is>
          <t>Mickey Mouse; Minnie Mouse</t>
        </is>
      </c>
      <c r="D587" t="inlineStr">
        <is>
          <t>Mickey Mouse and Minnie Mouse St. David's Day 2024 Limited Edition Pin</t>
        </is>
      </c>
      <c r="E587" t="inlineStr"/>
      <c r="F587" t="n">
        <v>500</v>
      </c>
      <c r="G587" t="inlineStr">
        <is>
          <t>N</t>
        </is>
      </c>
      <c r="H587" t="inlineStr"/>
      <c r="I587" t="inlineStr">
        <is>
          <t>none</t>
        </is>
      </c>
      <c r="J587" t="inlineStr">
        <is>
          <t>candidate</t>
        </is>
      </c>
      <c r="K587" t="inlineStr">
        <is>
          <t>High</t>
        </is>
      </c>
      <c r="L587" t="inlineStr">
        <is>
          <t>dsuk/2024/st-davids-day-2024/mickey-and-minnie</t>
        </is>
      </c>
    </row>
    <row r="588">
      <c r="A588" t="inlineStr">
        <is>
          <t>PHS-0217</t>
        </is>
      </c>
      <c r="B588" t="n">
        <v>1</v>
      </c>
      <c r="C588" t="inlineStr">
        <is>
          <t>Chief Tui; Sina</t>
        </is>
      </c>
      <c r="D588" t="inlineStr">
        <is>
          <t>Chief Tui &amp; Sina – Moana Limited Edition Mystery Puzzle Pin</t>
        </is>
      </c>
      <c r="E588" t="inlineStr"/>
      <c r="F588" t="n">
        <v>650</v>
      </c>
      <c r="G588" t="inlineStr">
        <is>
          <t>N</t>
        </is>
      </c>
      <c r="H588" t="inlineStr"/>
      <c r="I588" t="inlineStr">
        <is>
          <t>none</t>
        </is>
      </c>
      <c r="J588" t="inlineStr">
        <is>
          <t>candidate</t>
        </is>
      </c>
      <c r="K588" t="inlineStr">
        <is>
          <t>Medium</t>
        </is>
      </c>
      <c r="L588" t="inlineStr">
        <is>
          <t>dsuk/2024/moana-mystery-puzzle-pin/chief-tui-and-sina</t>
        </is>
      </c>
    </row>
    <row r="589">
      <c r="A589" t="inlineStr">
        <is>
          <t>PHS-0217</t>
        </is>
      </c>
      <c r="B589" t="n">
        <v>2</v>
      </c>
      <c r="C589" t="inlineStr">
        <is>
          <t>Gramma Tala</t>
        </is>
      </c>
      <c r="D589" t="inlineStr">
        <is>
          <t>Gramma Tala – Moana Limited Edition Mystery Puzzle Pin</t>
        </is>
      </c>
      <c r="E589" t="inlineStr"/>
      <c r="F589" t="n">
        <v>650</v>
      </c>
      <c r="G589" t="inlineStr">
        <is>
          <t>N</t>
        </is>
      </c>
      <c r="H589" t="inlineStr"/>
      <c r="I589" t="inlineStr">
        <is>
          <t>none</t>
        </is>
      </c>
      <c r="J589" t="inlineStr">
        <is>
          <t>candidate</t>
        </is>
      </c>
      <c r="K589" t="inlineStr">
        <is>
          <t>Medium</t>
        </is>
      </c>
      <c r="L589" t="inlineStr">
        <is>
          <t>dsuk/2024/moana-mystery-puzzle-pin/gramma-tala</t>
        </is>
      </c>
    </row>
    <row r="590">
      <c r="A590" t="inlineStr">
        <is>
          <t>PHS-0217</t>
        </is>
      </c>
      <c r="B590" t="n">
        <v>3</v>
      </c>
      <c r="C590" t="inlineStr">
        <is>
          <t>Hei Hei; Heihei</t>
        </is>
      </c>
      <c r="D590" t="inlineStr">
        <is>
          <t>Hei Hei &amp; Heihei – Moana Limited Edition Mystery Puzzle Pin</t>
        </is>
      </c>
      <c r="E590" t="inlineStr"/>
      <c r="F590" t="n">
        <v>650</v>
      </c>
      <c r="G590" t="inlineStr">
        <is>
          <t>N</t>
        </is>
      </c>
      <c r="H590" t="inlineStr"/>
      <c r="I590" t="inlineStr">
        <is>
          <t>none</t>
        </is>
      </c>
      <c r="J590" t="inlineStr">
        <is>
          <t>candidate</t>
        </is>
      </c>
      <c r="K590" t="inlineStr">
        <is>
          <t>Medium</t>
        </is>
      </c>
      <c r="L590" t="inlineStr">
        <is>
          <t>dsuk/2024/moana-mystery-puzzle-pin/heihei</t>
        </is>
      </c>
    </row>
    <row r="591">
      <c r="A591" t="inlineStr">
        <is>
          <t>PHS-0217</t>
        </is>
      </c>
      <c r="B591" t="n">
        <v>4</v>
      </c>
      <c r="C591" t="inlineStr">
        <is>
          <t>Maui</t>
        </is>
      </c>
      <c r="D591" t="inlineStr">
        <is>
          <t>Maui – Moana Limited Edition Mystery Puzzle Pin</t>
        </is>
      </c>
      <c r="E591" t="inlineStr"/>
      <c r="F591" t="n">
        <v>650</v>
      </c>
      <c r="G591" t="inlineStr">
        <is>
          <t>N</t>
        </is>
      </c>
      <c r="H591" t="inlineStr"/>
      <c r="I591" t="inlineStr">
        <is>
          <t>none</t>
        </is>
      </c>
      <c r="J591" t="inlineStr">
        <is>
          <t>candidate</t>
        </is>
      </c>
      <c r="K591" t="inlineStr">
        <is>
          <t>Medium</t>
        </is>
      </c>
      <c r="L591" t="inlineStr">
        <is>
          <t>dsuk/2024/moana-mystery-puzzle-pin/maui</t>
        </is>
      </c>
    </row>
    <row r="592">
      <c r="A592" t="inlineStr">
        <is>
          <t>PHS-0217</t>
        </is>
      </c>
      <c r="B592" t="n">
        <v>5</v>
      </c>
      <c r="C592" t="inlineStr">
        <is>
          <t>Moana</t>
        </is>
      </c>
      <c r="D592" t="inlineStr">
        <is>
          <t>Disney Moana Character Connection Puzzle Piece Mystery Pin Set - Moana Pin</t>
        </is>
      </c>
      <c r="E592" t="inlineStr"/>
      <c r="F592" t="n">
        <v>650</v>
      </c>
      <c r="G592" t="inlineStr">
        <is>
          <t>N</t>
        </is>
      </c>
      <c r="H592" t="inlineStr"/>
      <c r="I592" t="inlineStr">
        <is>
          <t>none</t>
        </is>
      </c>
      <c r="J592" t="inlineStr">
        <is>
          <t>candidate</t>
        </is>
      </c>
      <c r="K592" t="inlineStr">
        <is>
          <t>Medium</t>
        </is>
      </c>
      <c r="L592" t="inlineStr">
        <is>
          <t>dsuk/2024/moana-mystery-puzzle-pin/moana</t>
        </is>
      </c>
    </row>
    <row r="593">
      <c r="A593" t="inlineStr">
        <is>
          <t>PHS-0217</t>
        </is>
      </c>
      <c r="B593" t="n">
        <v>6</v>
      </c>
      <c r="C593" t="inlineStr">
        <is>
          <t>Pua</t>
        </is>
      </c>
      <c r="D593" t="inlineStr">
        <is>
          <t>Pua – Moana Limited Edition Mystery Puzzle Pin</t>
        </is>
      </c>
      <c r="E593" t="inlineStr"/>
      <c r="F593" t="n">
        <v>650</v>
      </c>
      <c r="G593" t="inlineStr">
        <is>
          <t>N</t>
        </is>
      </c>
      <c r="H593" t="inlineStr"/>
      <c r="I593" t="inlineStr">
        <is>
          <t>none</t>
        </is>
      </c>
      <c r="J593" t="inlineStr">
        <is>
          <t>candidate</t>
        </is>
      </c>
      <c r="K593" t="inlineStr">
        <is>
          <t>Medium</t>
        </is>
      </c>
      <c r="L593" t="inlineStr">
        <is>
          <t>dsuk/2024/moana-mystery-puzzle-pin/pua</t>
        </is>
      </c>
    </row>
    <row r="594">
      <c r="A594" t="inlineStr">
        <is>
          <t>PHS-0217</t>
        </is>
      </c>
      <c r="B594" t="n">
        <v>7</v>
      </c>
      <c r="C594" t="inlineStr">
        <is>
          <t>Tamatoa</t>
        </is>
      </c>
      <c r="D594" t="inlineStr">
        <is>
          <t>Tamatoa – Moana Limited Edition Mystery Puzzle Pin</t>
        </is>
      </c>
      <c r="E594" t="inlineStr"/>
      <c r="F594" t="n">
        <v>650</v>
      </c>
      <c r="G594" t="inlineStr">
        <is>
          <t>N</t>
        </is>
      </c>
      <c r="H594" t="inlineStr"/>
      <c r="I594" t="inlineStr">
        <is>
          <t>none</t>
        </is>
      </c>
      <c r="J594" t="inlineStr">
        <is>
          <t>candidate</t>
        </is>
      </c>
      <c r="K594" t="inlineStr">
        <is>
          <t>Medium</t>
        </is>
      </c>
      <c r="L594" t="inlineStr">
        <is>
          <t>dsuk/2024/moana-mystery-puzzle-pin/tamatoa</t>
        </is>
      </c>
    </row>
    <row r="595">
      <c r="A595" t="inlineStr">
        <is>
          <t>PHS-0217</t>
        </is>
      </c>
      <c r="B595" t="n">
        <v>8</v>
      </c>
      <c r="C595" t="inlineStr">
        <is>
          <t>Te Fiti</t>
        </is>
      </c>
      <c r="D595" t="inlineStr">
        <is>
          <t>Te Fiti – Moana Limited Edition Mystery Puzzle Pin</t>
        </is>
      </c>
      <c r="E595" t="inlineStr"/>
      <c r="F595" t="n">
        <v>650</v>
      </c>
      <c r="G595" t="inlineStr">
        <is>
          <t>N</t>
        </is>
      </c>
      <c r="H595" t="inlineStr"/>
      <c r="I595" t="inlineStr">
        <is>
          <t>none</t>
        </is>
      </c>
      <c r="J595" t="inlineStr">
        <is>
          <t>candidate</t>
        </is>
      </c>
      <c r="K595" t="inlineStr">
        <is>
          <t>Medium</t>
        </is>
      </c>
      <c r="L595" t="inlineStr">
        <is>
          <t>dsuk/2024/moana-mystery-puzzle-pin/te-fiti</t>
        </is>
      </c>
    </row>
    <row r="596">
      <c r="A596" t="inlineStr">
        <is>
          <t>PHS-0218</t>
        </is>
      </c>
      <c r="B596" t="n">
        <v>1</v>
      </c>
      <c r="C596" t="inlineStr">
        <is>
          <t>Miss Bianca</t>
        </is>
      </c>
      <c r="D596" t="inlineStr">
        <is>
          <t>Miss Bianca – Miss Bianca Limited Edition Bastille Day 2024 Pin</t>
        </is>
      </c>
      <c r="E596" t="inlineStr"/>
      <c r="F596" t="inlineStr"/>
      <c r="G596" t="inlineStr">
        <is>
          <t>N</t>
        </is>
      </c>
      <c r="H596" t="inlineStr"/>
      <c r="I596" t="inlineStr">
        <is>
          <t>none</t>
        </is>
      </c>
      <c r="J596" t="inlineStr">
        <is>
          <t>candidate</t>
        </is>
      </c>
      <c r="K596" t="inlineStr">
        <is>
          <t>Medium</t>
        </is>
      </c>
      <c r="L596" t="inlineStr">
        <is>
          <t>dsuk/2024/bastille-day-2024-miss-bianca/miss-bianca</t>
        </is>
      </c>
    </row>
    <row r="597">
      <c r="A597" t="inlineStr">
        <is>
          <t>PHS-0219</t>
        </is>
      </c>
      <c r="B597" t="n">
        <v>1</v>
      </c>
      <c r="C597" t="inlineStr">
        <is>
          <t>Chip; Dale</t>
        </is>
      </c>
      <c r="D597" t="inlineStr">
        <is>
          <t>Chip &amp; Dale – Mickey's Christmas Carol 24-Day Advent Calendar Mystery Pin Set 2024</t>
        </is>
      </c>
      <c r="E597" t="inlineStr"/>
      <c r="F597" t="n">
        <v>3300</v>
      </c>
      <c r="G597" t="inlineStr">
        <is>
          <t>N</t>
        </is>
      </c>
      <c r="H597" t="inlineStr"/>
      <c r="I597" t="inlineStr">
        <is>
          <t>none</t>
        </is>
      </c>
      <c r="J597" t="inlineStr">
        <is>
          <t>candidate</t>
        </is>
      </c>
      <c r="K597" t="inlineStr">
        <is>
          <t>Low</t>
        </is>
      </c>
      <c r="L597" t="inlineStr">
        <is>
          <t>dsuk/2024/mickeys-christmas-carol-advent-calendar-2024/chip-and-dale</t>
        </is>
      </c>
    </row>
    <row r="598">
      <c r="A598" t="inlineStr">
        <is>
          <t>PHS-0219</t>
        </is>
      </c>
      <c r="B598" t="n">
        <v>2</v>
      </c>
      <c r="C598" t="inlineStr">
        <is>
          <t>Cyril Proudbottom</t>
        </is>
      </c>
      <c r="D598" t="inlineStr">
        <is>
          <t>Cyril Proudbottom – Mickey's Christmas Carol 24-Day Advent Calendar Mystery Pin Set 2024</t>
        </is>
      </c>
      <c r="E598" t="inlineStr"/>
      <c r="F598" t="n">
        <v>3300</v>
      </c>
      <c r="G598" t="inlineStr">
        <is>
          <t>N</t>
        </is>
      </c>
      <c r="H598" t="inlineStr"/>
      <c r="I598" t="inlineStr">
        <is>
          <t>none</t>
        </is>
      </c>
      <c r="J598" t="inlineStr">
        <is>
          <t>candidate</t>
        </is>
      </c>
      <c r="K598" t="inlineStr">
        <is>
          <t>Low</t>
        </is>
      </c>
      <c r="L598" t="inlineStr">
        <is>
          <t>dsuk/2024/mickeys-christmas-carol-advent-calendar-2024/cyril-proudbottom</t>
        </is>
      </c>
    </row>
    <row r="599">
      <c r="A599" t="inlineStr">
        <is>
          <t>PHS-0219</t>
        </is>
      </c>
      <c r="B599" t="n">
        <v>3</v>
      </c>
      <c r="C599" t="inlineStr">
        <is>
          <t>Daisy Duck</t>
        </is>
      </c>
      <c r="D599" t="inlineStr">
        <is>
          <t>Daisy Duck - Mickey's Christmas Carol Advent Calendar Pin</t>
        </is>
      </c>
      <c r="E599" t="inlineStr"/>
      <c r="F599" t="n">
        <v>3300</v>
      </c>
      <c r="G599" t="inlineStr">
        <is>
          <t>N</t>
        </is>
      </c>
      <c r="H599" t="inlineStr"/>
      <c r="I599" t="inlineStr">
        <is>
          <t>none</t>
        </is>
      </c>
      <c r="J599" t="inlineStr">
        <is>
          <t>candidate</t>
        </is>
      </c>
      <c r="K599" t="inlineStr">
        <is>
          <t>High</t>
        </is>
      </c>
      <c r="L599" t="inlineStr">
        <is>
          <t>dsuk/2024/mickeys-christmas-carol-advent-calendar-2024/daisy-isabelle</t>
        </is>
      </c>
    </row>
    <row r="600">
      <c r="A600" t="inlineStr">
        <is>
          <t>PHS-0219</t>
        </is>
      </c>
      <c r="B600" t="n">
        <v>4</v>
      </c>
      <c r="C600" t="inlineStr">
        <is>
          <t>Donald Duck</t>
        </is>
      </c>
      <c r="D600" t="inlineStr">
        <is>
          <t>Donald Duck – Mickey's Christmas Carol 24-Day Advent Calendar Mystery Pin Set 2024</t>
        </is>
      </c>
      <c r="E600" t="inlineStr"/>
      <c r="F600" t="n">
        <v>3300</v>
      </c>
      <c r="G600" t="inlineStr">
        <is>
          <t>N</t>
        </is>
      </c>
      <c r="H600" t="inlineStr"/>
      <c r="I600" t="inlineStr">
        <is>
          <t>none</t>
        </is>
      </c>
      <c r="J600" t="inlineStr">
        <is>
          <t>candidate</t>
        </is>
      </c>
      <c r="K600" t="inlineStr">
        <is>
          <t>High</t>
        </is>
      </c>
      <c r="L600" t="inlineStr">
        <is>
          <t>dsuk/2024/mickeys-christmas-carol-advent-calendar-2024/donald-fred</t>
        </is>
      </c>
    </row>
    <row r="601">
      <c r="A601" t="inlineStr">
        <is>
          <t>PHS-0219</t>
        </is>
      </c>
      <c r="B601" t="n">
        <v>5</v>
      </c>
      <c r="C601" t="inlineStr">
        <is>
          <t>Goofy</t>
        </is>
      </c>
      <c r="D601" t="inlineStr">
        <is>
          <t>Goofy Door Knocker - Mickey's Christmas Carol Advent Calendar Pin</t>
        </is>
      </c>
      <c r="E601" t="inlineStr"/>
      <c r="F601" t="inlineStr"/>
      <c r="G601" t="inlineStr">
        <is>
          <t>N</t>
        </is>
      </c>
      <c r="H601" t="inlineStr"/>
      <c r="I601" t="inlineStr">
        <is>
          <t>none</t>
        </is>
      </c>
      <c r="J601" t="inlineStr">
        <is>
          <t>candidate</t>
        </is>
      </c>
      <c r="K601" t="inlineStr">
        <is>
          <t>Medium</t>
        </is>
      </c>
      <c r="L601" t="inlineStr">
        <is>
          <t>dsuk/2024/mickeys-christmas-carol-advent-calendar-2024/goofy-door-knocker</t>
        </is>
      </c>
    </row>
    <row r="602">
      <c r="A602" t="inlineStr">
        <is>
          <t>PHS-0219</t>
        </is>
      </c>
      <c r="B602" t="n">
        <v>6</v>
      </c>
      <c r="C602" t="inlineStr">
        <is>
          <t>Goofy</t>
        </is>
      </c>
      <c r="D602" t="inlineStr">
        <is>
          <t>Goofy - Mickey's Christmas Carol Advent Calendar Pin</t>
        </is>
      </c>
      <c r="E602" t="inlineStr"/>
      <c r="F602" t="n">
        <v>3300</v>
      </c>
      <c r="G602" t="inlineStr">
        <is>
          <t>N</t>
        </is>
      </c>
      <c r="H602" t="inlineStr"/>
      <c r="I602" t="inlineStr">
        <is>
          <t>none</t>
        </is>
      </c>
      <c r="J602" t="inlineStr">
        <is>
          <t>candidate</t>
        </is>
      </c>
      <c r="K602" t="inlineStr">
        <is>
          <t>High</t>
        </is>
      </c>
      <c r="L602" t="inlineStr">
        <is>
          <t>dsuk/2024/mickeys-christmas-carol-advent-calendar-2024/goofy-marleys-ghost</t>
        </is>
      </c>
    </row>
    <row r="603">
      <c r="A603" t="inlineStr">
        <is>
          <t>PHS-0219</t>
        </is>
      </c>
      <c r="B603" t="n">
        <v>7</v>
      </c>
      <c r="C603" t="inlineStr">
        <is>
          <t>Grandma Duck; Uncle Waldo</t>
        </is>
      </c>
      <c r="D603" t="inlineStr">
        <is>
          <t>Grandma Duck &amp; Uncle Waldo – Mickey's Christmas Carol 24-Day Advent Calendar Mystery Pin Set 2024</t>
        </is>
      </c>
      <c r="E603" t="inlineStr"/>
      <c r="F603" t="n">
        <v>3300</v>
      </c>
      <c r="G603" t="inlineStr">
        <is>
          <t>N</t>
        </is>
      </c>
      <c r="H603" t="inlineStr"/>
      <c r="I603" t="inlineStr">
        <is>
          <t>none</t>
        </is>
      </c>
      <c r="J603" t="inlineStr">
        <is>
          <t>candidate</t>
        </is>
      </c>
      <c r="K603" t="inlineStr">
        <is>
          <t>Low</t>
        </is>
      </c>
      <c r="L603" t="inlineStr">
        <is>
          <t>dsuk/2024/mickeys-christmas-carol-advent-calendar-2024/grandma-duck-and-uncle-waldo</t>
        </is>
      </c>
    </row>
    <row r="604">
      <c r="A604" t="inlineStr">
        <is>
          <t>PHS-0219</t>
        </is>
      </c>
      <c r="B604" t="n">
        <v>8</v>
      </c>
      <c r="C604" t="inlineStr">
        <is>
          <t>Jiminy Cricket</t>
        </is>
      </c>
      <c r="D604" t="inlineStr">
        <is>
          <t>Jiminy Cricket as The Ghost of Christmas Past</t>
        </is>
      </c>
      <c r="E604" t="inlineStr"/>
      <c r="F604" t="n">
        <v>3300</v>
      </c>
      <c r="G604" t="inlineStr">
        <is>
          <t>N</t>
        </is>
      </c>
      <c r="H604" t="inlineStr"/>
      <c r="I604" t="inlineStr">
        <is>
          <t>none</t>
        </is>
      </c>
      <c r="J604" t="inlineStr">
        <is>
          <t>candidate</t>
        </is>
      </c>
      <c r="K604" t="inlineStr">
        <is>
          <t>High</t>
        </is>
      </c>
      <c r="L604" t="inlineStr">
        <is>
          <t>dsuk/2024/mickeys-christmas-carol-advent-calendar-2024/jiminy-cricket-ghost-of-christmas-past</t>
        </is>
      </c>
    </row>
    <row r="605">
      <c r="A605" t="inlineStr">
        <is>
          <t>PHS-0219</t>
        </is>
      </c>
      <c r="B605" t="n">
        <v>9</v>
      </c>
      <c r="C605" t="inlineStr">
        <is>
          <t>Mickey Mouse</t>
        </is>
      </c>
      <c r="D605" t="inlineStr">
        <is>
          <t>Mickey Mouse – Mickey's Christmas Carol 24-Day Advent Calendar Mystery Pin Set 2024</t>
        </is>
      </c>
      <c r="E605" t="inlineStr"/>
      <c r="F605" t="n">
        <v>3300</v>
      </c>
      <c r="G605" t="inlineStr">
        <is>
          <t>N</t>
        </is>
      </c>
      <c r="H605" t="inlineStr"/>
      <c r="I605" t="inlineStr">
        <is>
          <t>none</t>
        </is>
      </c>
      <c r="J605" t="inlineStr">
        <is>
          <t>candidate</t>
        </is>
      </c>
      <c r="K605" t="inlineStr">
        <is>
          <t>High</t>
        </is>
      </c>
      <c r="L605" t="inlineStr">
        <is>
          <t>dsuk/2024/mickeys-christmas-carol-advent-calendar-2024/mickey-bob-cratchit</t>
        </is>
      </c>
    </row>
    <row r="606">
      <c r="A606" t="inlineStr">
        <is>
          <t>PHS-0219</t>
        </is>
      </c>
      <c r="B606" t="n">
        <v>10</v>
      </c>
      <c r="C606" t="inlineStr">
        <is>
          <t>Minnie Mouse</t>
        </is>
      </c>
      <c r="D606" t="inlineStr">
        <is>
          <t>Minnie Mouse - Mickey's Christmas Carol Advent Calendar Pin</t>
        </is>
      </c>
      <c r="E606" t="inlineStr"/>
      <c r="F606" t="n">
        <v>3300</v>
      </c>
      <c r="G606" t="inlineStr">
        <is>
          <t>N</t>
        </is>
      </c>
      <c r="H606" t="inlineStr"/>
      <c r="I606" t="inlineStr">
        <is>
          <t>none</t>
        </is>
      </c>
      <c r="J606" t="inlineStr">
        <is>
          <t>candidate</t>
        </is>
      </c>
      <c r="K606" t="inlineStr">
        <is>
          <t>High</t>
        </is>
      </c>
      <c r="L606" t="inlineStr">
        <is>
          <t>dsuk/2024/mickeys-christmas-carol-advent-calendar-2024/minnie-emily-cratchit</t>
        </is>
      </c>
    </row>
    <row r="607">
      <c r="A607" t="inlineStr">
        <is>
          <t>PHS-0219</t>
        </is>
      </c>
      <c r="B607" t="n">
        <v>11</v>
      </c>
      <c r="C607" t="inlineStr">
        <is>
          <t>Morty Fieldmouse</t>
        </is>
      </c>
      <c r="D607" t="inlineStr">
        <is>
          <t>Morty Fieldmouse - Mickey's Christmas Carol Advent Calendar Pin</t>
        </is>
      </c>
      <c r="E607" t="inlineStr"/>
      <c r="F607" t="inlineStr"/>
      <c r="G607" t="inlineStr">
        <is>
          <t>N</t>
        </is>
      </c>
      <c r="H607" t="inlineStr"/>
      <c r="I607" t="inlineStr">
        <is>
          <t>none</t>
        </is>
      </c>
      <c r="J607" t="inlineStr">
        <is>
          <t>candidate</t>
        </is>
      </c>
      <c r="K607" t="inlineStr">
        <is>
          <t>Low</t>
        </is>
      </c>
      <c r="L607" t="inlineStr">
        <is>
          <t>dsuk/2024/mickeys-christmas-carol-advent-calendar-2024/morty-fieldmouse-tiny-tim</t>
        </is>
      </c>
    </row>
    <row r="608">
      <c r="A608" t="inlineStr">
        <is>
          <t>PHS-0219</t>
        </is>
      </c>
      <c r="B608" t="n">
        <v>12</v>
      </c>
      <c r="C608" t="inlineStr">
        <is>
          <t>Mr. Toad</t>
        </is>
      </c>
      <c r="D608" t="inlineStr">
        <is>
          <t>Mr. Toad – Mickey's Christmas Carol 24-Day Advent Calendar Mystery Pin Set 2024</t>
        </is>
      </c>
      <c r="E608" t="inlineStr"/>
      <c r="F608" t="n">
        <v>3300</v>
      </c>
      <c r="G608" t="inlineStr">
        <is>
          <t>N</t>
        </is>
      </c>
      <c r="H608" t="inlineStr"/>
      <c r="I608" t="inlineStr">
        <is>
          <t>none</t>
        </is>
      </c>
      <c r="J608" t="inlineStr">
        <is>
          <t>candidate</t>
        </is>
      </c>
      <c r="K608" t="inlineStr">
        <is>
          <t>Low</t>
        </is>
      </c>
      <c r="L608" t="inlineStr">
        <is>
          <t>dsuk/2024/mickeys-christmas-carol-advent-calendar-2024/mr-toad</t>
        </is>
      </c>
    </row>
    <row r="609">
      <c r="A609" t="inlineStr">
        <is>
          <t>PHS-0219</t>
        </is>
      </c>
      <c r="B609" t="n">
        <v>13</v>
      </c>
      <c r="C609" t="inlineStr">
        <is>
          <t>Moley; Ratty</t>
        </is>
      </c>
      <c r="D609" t="inlineStr">
        <is>
          <t>Moley &amp; Ratty – Mickey's Christmas Carol 24-Day Advent Calendar Mystery Pin Set 2024</t>
        </is>
      </c>
      <c r="E609" t="inlineStr"/>
      <c r="F609" t="n">
        <v>3300</v>
      </c>
      <c r="G609" t="inlineStr">
        <is>
          <t>N</t>
        </is>
      </c>
      <c r="H609" t="inlineStr"/>
      <c r="I609" t="inlineStr">
        <is>
          <t>none</t>
        </is>
      </c>
      <c r="J609" t="inlineStr">
        <is>
          <t>candidate</t>
        </is>
      </c>
      <c r="K609" t="inlineStr">
        <is>
          <t>Low</t>
        </is>
      </c>
      <c r="L609" t="inlineStr">
        <is>
          <t>dsuk/2024/mickeys-christmas-carol-advent-calendar-2024/ratty-and-moley</t>
        </is>
      </c>
    </row>
    <row r="610">
      <c r="A610" t="inlineStr">
        <is>
          <t>PHS-0219</t>
        </is>
      </c>
      <c r="B610" t="n">
        <v>14</v>
      </c>
      <c r="C610" t="inlineStr">
        <is>
          <t>Scrooge McDuck</t>
        </is>
      </c>
      <c r="D610" t="inlineStr">
        <is>
          <t>Scrooge McDuck – Mickey's Christmas Carol 24-Day Advent Calendar Mystery Pin Set 2024</t>
        </is>
      </c>
      <c r="E610" t="inlineStr"/>
      <c r="F610" t="n">
        <v>3300</v>
      </c>
      <c r="G610" t="inlineStr">
        <is>
          <t>N</t>
        </is>
      </c>
      <c r="H610" t="inlineStr"/>
      <c r="I610" t="inlineStr">
        <is>
          <t>none</t>
        </is>
      </c>
      <c r="J610" t="inlineStr">
        <is>
          <t>candidate</t>
        </is>
      </c>
      <c r="K610" t="inlineStr">
        <is>
          <t>High</t>
        </is>
      </c>
      <c r="L610" t="inlineStr">
        <is>
          <t>dsuk/2024/mickeys-christmas-carol-advent-calendar-2024/scrooge-mcduck-ebenezer-scrooge</t>
        </is>
      </c>
    </row>
    <row r="611">
      <c r="A611" t="inlineStr">
        <is>
          <t>PHS-0220</t>
        </is>
      </c>
      <c r="B611" t="n">
        <v>1</v>
      </c>
      <c r="C611" t="inlineStr">
        <is>
          <t>Mickey Mouse; Santa Claus</t>
        </is>
      </c>
      <c r="D611" t="inlineStr">
        <is>
          <t>Mickey Mouse &amp; Santa Claus – Mickey Mouse and Santa Claus Limited Release Festive Pin 2024</t>
        </is>
      </c>
      <c r="E611" t="inlineStr"/>
      <c r="F611" t="inlineStr"/>
      <c r="G611" t="inlineStr">
        <is>
          <t>N</t>
        </is>
      </c>
      <c r="H611" t="inlineStr"/>
      <c r="I611" t="inlineStr">
        <is>
          <t>none</t>
        </is>
      </c>
      <c r="J611" t="inlineStr">
        <is>
          <t>candidate</t>
        </is>
      </c>
      <c r="K611" t="inlineStr">
        <is>
          <t>High</t>
        </is>
      </c>
      <c r="L611" t="inlineStr">
        <is>
          <t>dsuk/2024/mickey-and-santa-claus-festive-pin-2024/mickey-mouse-and-santa-claus</t>
        </is>
      </c>
    </row>
    <row r="612">
      <c r="A612" t="inlineStr">
        <is>
          <t>PHS-0221</t>
        </is>
      </c>
      <c r="B612" t="n">
        <v>1</v>
      </c>
      <c r="C612" t="inlineStr">
        <is>
          <t>Chip; Dale</t>
        </is>
      </c>
      <c r="D612" t="inlineStr">
        <is>
          <t>Chip &amp; Dale – Celebrating Disney Pins 25th Anniversary Limited Edition Pin Set Series, 1 of 4</t>
        </is>
      </c>
      <c r="E612" t="inlineStr"/>
      <c r="F612" t="inlineStr"/>
      <c r="G612" t="inlineStr">
        <is>
          <t>N</t>
        </is>
      </c>
      <c r="H612" t="inlineStr"/>
      <c r="I612" t="inlineStr">
        <is>
          <t>none</t>
        </is>
      </c>
      <c r="J612" t="inlineStr">
        <is>
          <t>candidate</t>
        </is>
      </c>
      <c r="K612" t="inlineStr">
        <is>
          <t>High</t>
        </is>
      </c>
      <c r="L612" t="inlineStr">
        <is>
          <t>dsuk/2025/celebrating-disney-pins-25-series-1/chip-n-dale</t>
        </is>
      </c>
    </row>
    <row r="613">
      <c r="A613" t="inlineStr">
        <is>
          <t>PHS-0221</t>
        </is>
      </c>
      <c r="B613" t="n">
        <v>2</v>
      </c>
      <c r="C613" t="inlineStr">
        <is>
          <t>Donald Duck</t>
        </is>
      </c>
      <c r="D613" t="inlineStr">
        <is>
          <t>Donald Duck – Celebrating Disney Pins 25th Anniversary Limited Edition Pin Set Series, 1 of 4</t>
        </is>
      </c>
      <c r="E613" t="inlineStr"/>
      <c r="F613" t="inlineStr"/>
      <c r="G613" t="inlineStr">
        <is>
          <t>N</t>
        </is>
      </c>
      <c r="H613" t="inlineStr"/>
      <c r="I613" t="inlineStr">
        <is>
          <t>none</t>
        </is>
      </c>
      <c r="J613" t="inlineStr">
        <is>
          <t>candidate</t>
        </is>
      </c>
      <c r="K613" t="inlineStr">
        <is>
          <t>High</t>
        </is>
      </c>
      <c r="L613" t="inlineStr">
        <is>
          <t>dsuk/2025/celebrating-disney-pins-25-series-1/donald-duck</t>
        </is>
      </c>
    </row>
    <row r="614">
      <c r="A614" t="inlineStr">
        <is>
          <t>PHS-0221</t>
        </is>
      </c>
      <c r="B614" t="n">
        <v>3</v>
      </c>
      <c r="C614" t="inlineStr">
        <is>
          <t>Goofy</t>
        </is>
      </c>
      <c r="D614" t="inlineStr">
        <is>
          <t>Goofy – Celebrating Disney Pins 25th Anniversary Limited Edition Pin Set Series, 1 of 4</t>
        </is>
      </c>
      <c r="E614" t="inlineStr"/>
      <c r="F614" t="inlineStr"/>
      <c r="G614" t="inlineStr">
        <is>
          <t>N</t>
        </is>
      </c>
      <c r="H614" t="inlineStr"/>
      <c r="I614" t="inlineStr">
        <is>
          <t>none</t>
        </is>
      </c>
      <c r="J614" t="inlineStr">
        <is>
          <t>candidate</t>
        </is>
      </c>
      <c r="K614" t="inlineStr">
        <is>
          <t>High</t>
        </is>
      </c>
      <c r="L614" t="inlineStr">
        <is>
          <t>dsuk/2025/celebrating-disney-pins-25-series-1/goofy</t>
        </is>
      </c>
    </row>
    <row r="615">
      <c r="A615" t="inlineStr">
        <is>
          <t>PHS-0222</t>
        </is>
      </c>
      <c r="B615" t="n">
        <v>1</v>
      </c>
      <c r="C615" t="inlineStr">
        <is>
          <t>Baymax</t>
        </is>
      </c>
      <c r="D615" t="inlineStr">
        <is>
          <t>Baymax – Ducks of Disney Mystery Pin Pouch</t>
        </is>
      </c>
      <c r="E615" t="inlineStr"/>
      <c r="F615" t="inlineStr"/>
      <c r="G615" t="inlineStr">
        <is>
          <t>N</t>
        </is>
      </c>
      <c r="H615" t="inlineStr"/>
      <c r="I615" t="inlineStr">
        <is>
          <t>none</t>
        </is>
      </c>
      <c r="J615" t="inlineStr">
        <is>
          <t>candidate</t>
        </is>
      </c>
      <c r="K615" t="inlineStr">
        <is>
          <t>High</t>
        </is>
      </c>
      <c r="L615" t="inlineStr">
        <is>
          <t>dsuk/2025/ducks-of-disney-mystery-pouch/baymax</t>
        </is>
      </c>
    </row>
    <row r="616">
      <c r="A616" t="inlineStr">
        <is>
          <t>PHS-0222</t>
        </is>
      </c>
      <c r="B616" t="n">
        <v>2</v>
      </c>
      <c r="C616" t="inlineStr">
        <is>
          <t>Cheshire Cat</t>
        </is>
      </c>
      <c r="D616" t="inlineStr">
        <is>
          <t>Cheshire Cat – Ducks of Disney Mystery Pin Pouch</t>
        </is>
      </c>
      <c r="E616" t="inlineStr"/>
      <c r="F616" t="inlineStr"/>
      <c r="G616" t="inlineStr">
        <is>
          <t>N</t>
        </is>
      </c>
      <c r="H616" t="inlineStr"/>
      <c r="I616" t="inlineStr">
        <is>
          <t>none</t>
        </is>
      </c>
      <c r="J616" t="inlineStr">
        <is>
          <t>candidate</t>
        </is>
      </c>
      <c r="K616" t="inlineStr">
        <is>
          <t>High</t>
        </is>
      </c>
      <c r="L616" t="inlineStr">
        <is>
          <t>dsuk/2025/ducks-of-disney-mystery-pouch/cheshire-cat</t>
        </is>
      </c>
    </row>
    <row r="617">
      <c r="A617" t="inlineStr">
        <is>
          <t>PHS-0222</t>
        </is>
      </c>
      <c r="B617" t="n">
        <v>3</v>
      </c>
      <c r="C617" t="inlineStr">
        <is>
          <t>Daisy Duck</t>
        </is>
      </c>
      <c r="D617" t="inlineStr">
        <is>
          <t>Daisy Duck – Ducks of Disney Mystery Pin Pouch</t>
        </is>
      </c>
      <c r="E617" t="inlineStr"/>
      <c r="F617" t="inlineStr"/>
      <c r="G617" t="inlineStr">
        <is>
          <t>N</t>
        </is>
      </c>
      <c r="H617" t="inlineStr"/>
      <c r="I617" t="inlineStr">
        <is>
          <t>none</t>
        </is>
      </c>
      <c r="J617" t="inlineStr">
        <is>
          <t>candidate</t>
        </is>
      </c>
      <c r="K617" t="inlineStr">
        <is>
          <t>High</t>
        </is>
      </c>
      <c r="L617" t="inlineStr">
        <is>
          <t>dsuk/2025/ducks-of-disney-mystery-pouch/daisy</t>
        </is>
      </c>
    </row>
    <row r="618">
      <c r="A618" t="inlineStr">
        <is>
          <t>PHS-0222</t>
        </is>
      </c>
      <c r="B618" t="n">
        <v>4</v>
      </c>
      <c r="C618" t="inlineStr">
        <is>
          <t>Donald Duck</t>
        </is>
      </c>
      <c r="D618" t="inlineStr">
        <is>
          <t>Donald Duck – Ducks of Disney Mystery Pin Pouch</t>
        </is>
      </c>
      <c r="E618" t="inlineStr"/>
      <c r="F618" t="inlineStr"/>
      <c r="G618" t="inlineStr">
        <is>
          <t>N</t>
        </is>
      </c>
      <c r="H618" t="inlineStr"/>
      <c r="I618" t="inlineStr">
        <is>
          <t>none</t>
        </is>
      </c>
      <c r="J618" t="inlineStr">
        <is>
          <t>candidate</t>
        </is>
      </c>
      <c r="K618" t="inlineStr">
        <is>
          <t>High</t>
        </is>
      </c>
      <c r="L618" t="inlineStr">
        <is>
          <t>dsuk/2025/ducks-of-disney-mystery-pouch/donald</t>
        </is>
      </c>
    </row>
    <row r="619">
      <c r="A619" t="inlineStr">
        <is>
          <t>PHS-0222</t>
        </is>
      </c>
      <c r="B619" t="n">
        <v>5</v>
      </c>
      <c r="C619" t="inlineStr">
        <is>
          <t>Dumbo</t>
        </is>
      </c>
      <c r="D619" t="inlineStr">
        <is>
          <t>Dumbo – Ducks of Disney Mystery Pin Pouch</t>
        </is>
      </c>
      <c r="E619" t="inlineStr"/>
      <c r="F619" t="inlineStr"/>
      <c r="G619" t="inlineStr">
        <is>
          <t>N</t>
        </is>
      </c>
      <c r="H619" t="inlineStr"/>
      <c r="I619" t="inlineStr">
        <is>
          <t>none</t>
        </is>
      </c>
      <c r="J619" t="inlineStr">
        <is>
          <t>candidate</t>
        </is>
      </c>
      <c r="K619" t="inlineStr">
        <is>
          <t>High</t>
        </is>
      </c>
      <c r="L619" t="inlineStr">
        <is>
          <t>dsuk/2025/ducks-of-disney-mystery-pouch/dumbo</t>
        </is>
      </c>
    </row>
    <row r="620">
      <c r="A620" t="inlineStr">
        <is>
          <t>PHS-0222</t>
        </is>
      </c>
      <c r="B620" t="n">
        <v>6</v>
      </c>
      <c r="C620" t="inlineStr">
        <is>
          <t>Figment</t>
        </is>
      </c>
      <c r="D620" t="inlineStr">
        <is>
          <t>Figment – Ducks of Disney Mystery Pin Pouch</t>
        </is>
      </c>
      <c r="E620" t="inlineStr"/>
      <c r="F620" t="inlineStr"/>
      <c r="G620" t="inlineStr">
        <is>
          <t>N</t>
        </is>
      </c>
      <c r="H620" t="inlineStr"/>
      <c r="I620" t="inlineStr">
        <is>
          <t>none</t>
        </is>
      </c>
      <c r="J620" t="inlineStr">
        <is>
          <t>candidate</t>
        </is>
      </c>
      <c r="K620" t="inlineStr">
        <is>
          <t>High</t>
        </is>
      </c>
      <c r="L620" t="inlineStr">
        <is>
          <t>dsuk/2025/ducks-of-disney-mystery-pouch/figment</t>
        </is>
      </c>
    </row>
    <row r="621">
      <c r="A621" t="inlineStr">
        <is>
          <t>PHS-0222</t>
        </is>
      </c>
      <c r="B621" t="n">
        <v>7</v>
      </c>
      <c r="C621" t="inlineStr">
        <is>
          <t>Goofy</t>
        </is>
      </c>
      <c r="D621" t="inlineStr">
        <is>
          <t>Goofy – Ducks of Disney Mystery Pin Pouch</t>
        </is>
      </c>
      <c r="E621" t="inlineStr"/>
      <c r="F621" t="inlineStr"/>
      <c r="G621" t="inlineStr">
        <is>
          <t>N</t>
        </is>
      </c>
      <c r="H621" t="inlineStr"/>
      <c r="I621" t="inlineStr">
        <is>
          <t>none</t>
        </is>
      </c>
      <c r="J621" t="inlineStr">
        <is>
          <t>candidate</t>
        </is>
      </c>
      <c r="K621" t="inlineStr">
        <is>
          <t>High</t>
        </is>
      </c>
      <c r="L621" t="inlineStr">
        <is>
          <t>dsuk/2025/ducks-of-disney-mystery-pouch/goofy</t>
        </is>
      </c>
    </row>
    <row r="622">
      <c r="A622" t="inlineStr">
        <is>
          <t>PHS-0222</t>
        </is>
      </c>
      <c r="B622" t="n">
        <v>8</v>
      </c>
      <c r="C622" t="inlineStr">
        <is>
          <t>Marie</t>
        </is>
      </c>
      <c r="D622" t="inlineStr">
        <is>
          <t>Marie – Ducks of Disney Mystery Pin Pouch</t>
        </is>
      </c>
      <c r="E622" t="inlineStr"/>
      <c r="F622" t="inlineStr"/>
      <c r="G622" t="inlineStr">
        <is>
          <t>N</t>
        </is>
      </c>
      <c r="H622" t="inlineStr"/>
      <c r="I622" t="inlineStr">
        <is>
          <t>none</t>
        </is>
      </c>
      <c r="J622" t="inlineStr">
        <is>
          <t>candidate</t>
        </is>
      </c>
      <c r="K622" t="inlineStr">
        <is>
          <t>High</t>
        </is>
      </c>
      <c r="L622" t="inlineStr">
        <is>
          <t>dsuk/2025/ducks-of-disney-mystery-pouch/marie</t>
        </is>
      </c>
    </row>
    <row r="623">
      <c r="A623" t="inlineStr">
        <is>
          <t>PHS-0222</t>
        </is>
      </c>
      <c r="B623" t="n">
        <v>9</v>
      </c>
      <c r="C623" t="inlineStr">
        <is>
          <t>Minnie Mouse</t>
        </is>
      </c>
      <c r="D623" t="inlineStr">
        <is>
          <t>Minnie Mouse – Ducks of Disney Mystery Pin Pouch</t>
        </is>
      </c>
      <c r="E623" t="inlineStr"/>
      <c r="F623" t="inlineStr"/>
      <c r="G623" t="inlineStr">
        <is>
          <t>N</t>
        </is>
      </c>
      <c r="H623" t="inlineStr"/>
      <c r="I623" t="inlineStr">
        <is>
          <t>none</t>
        </is>
      </c>
      <c r="J623" t="inlineStr">
        <is>
          <t>candidate</t>
        </is>
      </c>
      <c r="K623" t="inlineStr">
        <is>
          <t>High</t>
        </is>
      </c>
      <c r="L623" t="inlineStr">
        <is>
          <t>dsuk/2025/ducks-of-disney-mystery-pouch/minnie</t>
        </is>
      </c>
    </row>
    <row r="624">
      <c r="A624" t="inlineStr">
        <is>
          <t>PHS-0222</t>
        </is>
      </c>
      <c r="B624" t="n">
        <v>10</v>
      </c>
      <c r="C624" t="inlineStr">
        <is>
          <t>Nemo</t>
        </is>
      </c>
      <c r="D624" t="inlineStr">
        <is>
          <t>Nemo – Ducks of Disney Mystery Pin Pouch</t>
        </is>
      </c>
      <c r="E624" t="inlineStr"/>
      <c r="F624" t="inlineStr"/>
      <c r="G624" t="inlineStr">
        <is>
          <t>N</t>
        </is>
      </c>
      <c r="H624" t="inlineStr"/>
      <c r="I624" t="inlineStr">
        <is>
          <t>none</t>
        </is>
      </c>
      <c r="J624" t="inlineStr">
        <is>
          <t>candidate</t>
        </is>
      </c>
      <c r="K624" t="inlineStr">
        <is>
          <t>High</t>
        </is>
      </c>
      <c r="L624" t="inlineStr">
        <is>
          <t>dsuk/2025/ducks-of-disney-mystery-pouch/nemo</t>
        </is>
      </c>
    </row>
    <row r="625">
      <c r="A625" t="inlineStr">
        <is>
          <t>PHS-0222</t>
        </is>
      </c>
      <c r="B625" t="n">
        <v>11</v>
      </c>
      <c r="C625" t="inlineStr">
        <is>
          <t>Pluto</t>
        </is>
      </c>
      <c r="D625" t="inlineStr">
        <is>
          <t>Pluto – Ducks of Disney Mystery Pin Pouch</t>
        </is>
      </c>
      <c r="E625" t="inlineStr"/>
      <c r="F625" t="inlineStr"/>
      <c r="G625" t="inlineStr">
        <is>
          <t>N</t>
        </is>
      </c>
      <c r="H625" t="inlineStr"/>
      <c r="I625" t="inlineStr">
        <is>
          <t>none</t>
        </is>
      </c>
      <c r="J625" t="inlineStr">
        <is>
          <t>candidate</t>
        </is>
      </c>
      <c r="K625" t="inlineStr">
        <is>
          <t>High</t>
        </is>
      </c>
      <c r="L625" t="inlineStr">
        <is>
          <t>dsuk/2025/ducks-of-disney-mystery-pouch/pluto</t>
        </is>
      </c>
    </row>
    <row r="626">
      <c r="A626" t="inlineStr">
        <is>
          <t>PHS-0222</t>
        </is>
      </c>
      <c r="B626" t="n">
        <v>12</v>
      </c>
      <c r="C626" t="inlineStr">
        <is>
          <t>Powerline</t>
        </is>
      </c>
      <c r="D626" t="inlineStr">
        <is>
          <t>Powerline – Ducks of Disney Mystery Pin Pouch</t>
        </is>
      </c>
      <c r="E626" t="inlineStr"/>
      <c r="F626" t="inlineStr"/>
      <c r="G626" t="inlineStr">
        <is>
          <t>N</t>
        </is>
      </c>
      <c r="H626" t="inlineStr"/>
      <c r="I626" t="inlineStr">
        <is>
          <t>none</t>
        </is>
      </c>
      <c r="J626" t="inlineStr">
        <is>
          <t>candidate</t>
        </is>
      </c>
      <c r="K626" t="inlineStr">
        <is>
          <t>High</t>
        </is>
      </c>
      <c r="L626" t="inlineStr">
        <is>
          <t>dsuk/2025/ducks-of-disney-mystery-pouch/powerline</t>
        </is>
      </c>
    </row>
    <row r="627">
      <c r="A627" t="inlineStr">
        <is>
          <t>PHS-0222</t>
        </is>
      </c>
      <c r="B627" t="n">
        <v>13</v>
      </c>
      <c r="C627" t="inlineStr">
        <is>
          <t>Sorcerer Mickey</t>
        </is>
      </c>
      <c r="D627" t="inlineStr">
        <is>
          <t>Sorcerer Mickey – Ducks of Disney Mystery Pin Pouch</t>
        </is>
      </c>
      <c r="E627" t="inlineStr"/>
      <c r="F627" t="inlineStr"/>
      <c r="G627" t="inlineStr">
        <is>
          <t>N</t>
        </is>
      </c>
      <c r="H627" t="inlineStr"/>
      <c r="I627" t="inlineStr">
        <is>
          <t>none</t>
        </is>
      </c>
      <c r="J627" t="inlineStr">
        <is>
          <t>candidate</t>
        </is>
      </c>
      <c r="K627" t="inlineStr">
        <is>
          <t>High</t>
        </is>
      </c>
      <c r="L627" t="inlineStr">
        <is>
          <t>dsuk/2025/ducks-of-disney-mystery-pouch/sorcerer-mickey</t>
        </is>
      </c>
    </row>
    <row r="628">
      <c r="A628" t="inlineStr">
        <is>
          <t>PHS-0222</t>
        </is>
      </c>
      <c r="B628" t="n">
        <v>14</v>
      </c>
      <c r="C628" t="inlineStr">
        <is>
          <t>Stitch</t>
        </is>
      </c>
      <c r="D628" t="inlineStr">
        <is>
          <t>Stitch – Ducks of Disney Mystery Pin Pouch</t>
        </is>
      </c>
      <c r="E628" t="inlineStr"/>
      <c r="F628" t="inlineStr"/>
      <c r="G628" t="inlineStr">
        <is>
          <t>N</t>
        </is>
      </c>
      <c r="H628" t="inlineStr"/>
      <c r="I628" t="inlineStr">
        <is>
          <t>none</t>
        </is>
      </c>
      <c r="J628" t="inlineStr">
        <is>
          <t>candidate</t>
        </is>
      </c>
      <c r="K628" t="inlineStr">
        <is>
          <t>High</t>
        </is>
      </c>
      <c r="L628" t="inlineStr">
        <is>
          <t>dsuk/2025/ducks-of-disney-mystery-pouch/stitch</t>
        </is>
      </c>
    </row>
    <row r="629">
      <c r="A629" t="inlineStr">
        <is>
          <t>PHS-0222</t>
        </is>
      </c>
      <c r="B629" t="n">
        <v>15</v>
      </c>
      <c r="C629" t="inlineStr">
        <is>
          <t>Tigger</t>
        </is>
      </c>
      <c r="D629" t="inlineStr">
        <is>
          <t>Tigger – Ducks of Disney Mystery Pin Pouch</t>
        </is>
      </c>
      <c r="E629" t="inlineStr"/>
      <c r="F629" t="inlineStr"/>
      <c r="G629" t="inlineStr">
        <is>
          <t>N</t>
        </is>
      </c>
      <c r="H629" t="inlineStr"/>
      <c r="I629" t="inlineStr">
        <is>
          <t>none</t>
        </is>
      </c>
      <c r="J629" t="inlineStr">
        <is>
          <t>candidate</t>
        </is>
      </c>
      <c r="K629" t="inlineStr">
        <is>
          <t>High</t>
        </is>
      </c>
      <c r="L629" t="inlineStr">
        <is>
          <t>dsuk/2025/ducks-of-disney-mystery-pouch/tigger</t>
        </is>
      </c>
    </row>
    <row r="630">
      <c r="A630" t="inlineStr">
        <is>
          <t>PHS-0222</t>
        </is>
      </c>
      <c r="B630" t="n">
        <v>16</v>
      </c>
      <c r="C630" t="inlineStr">
        <is>
          <t>Tinker Bell</t>
        </is>
      </c>
      <c r="D630" t="inlineStr">
        <is>
          <t>Tinker Bell – Ducks of Disney Mystery Pin Pouch</t>
        </is>
      </c>
      <c r="E630" t="inlineStr"/>
      <c r="F630" t="inlineStr"/>
      <c r="G630" t="inlineStr">
        <is>
          <t>N</t>
        </is>
      </c>
      <c r="H630" t="inlineStr"/>
      <c r="I630" t="inlineStr">
        <is>
          <t>none</t>
        </is>
      </c>
      <c r="J630" t="inlineStr">
        <is>
          <t>candidate</t>
        </is>
      </c>
      <c r="K630" t="inlineStr">
        <is>
          <t>High</t>
        </is>
      </c>
      <c r="L630" t="inlineStr">
        <is>
          <t>dsuk/2025/ducks-of-disney-mystery-pouch/tinker-bell</t>
        </is>
      </c>
    </row>
    <row r="631">
      <c r="A631" t="inlineStr">
        <is>
          <t>PHS-0223</t>
        </is>
      </c>
      <c r="B631" t="n">
        <v>1</v>
      </c>
      <c r="C631" t="inlineStr">
        <is>
          <t>Jumba Jookiba</t>
        </is>
      </c>
      <c r="D631" t="inlineStr">
        <is>
          <t>Jumba Jookiba – Celebrating Disney Pins 25th Anniversary Limited Edition Pin Set Series, 2 of 4</t>
        </is>
      </c>
      <c r="E631" t="inlineStr"/>
      <c r="F631" t="inlineStr"/>
      <c r="G631" t="inlineStr">
        <is>
          <t>N</t>
        </is>
      </c>
      <c r="H631" t="inlineStr"/>
      <c r="I631" t="inlineStr">
        <is>
          <t>none</t>
        </is>
      </c>
      <c r="J631" t="inlineStr">
        <is>
          <t>candidate</t>
        </is>
      </c>
      <c r="K631" t="inlineStr">
        <is>
          <t>High</t>
        </is>
      </c>
      <c r="L631" t="inlineStr">
        <is>
          <t>dsuk/2025/celebrating-disney-pins-25-series-2/jumba-jookiba</t>
        </is>
      </c>
    </row>
    <row r="632">
      <c r="A632" t="inlineStr">
        <is>
          <t>PHS-0223</t>
        </is>
      </c>
      <c r="B632" t="n">
        <v>2</v>
      </c>
      <c r="C632" t="inlineStr">
        <is>
          <t>Pleakley</t>
        </is>
      </c>
      <c r="D632" t="inlineStr">
        <is>
          <t>Pleakley – Celebrating Disney Pins 25th Anniversary Limited Edition Pin Set Series, 2 of 4</t>
        </is>
      </c>
      <c r="E632" t="inlineStr"/>
      <c r="F632" t="inlineStr"/>
      <c r="G632" t="inlineStr">
        <is>
          <t>N</t>
        </is>
      </c>
      <c r="H632" t="inlineStr"/>
      <c r="I632" t="inlineStr">
        <is>
          <t>none</t>
        </is>
      </c>
      <c r="J632" t="inlineStr">
        <is>
          <t>candidate</t>
        </is>
      </c>
      <c r="K632" t="inlineStr">
        <is>
          <t>High</t>
        </is>
      </c>
      <c r="L632" t="inlineStr">
        <is>
          <t>dsuk/2025/celebrating-disney-pins-25-series-2/pleakley</t>
        </is>
      </c>
    </row>
    <row r="633">
      <c r="A633" t="inlineStr">
        <is>
          <t>PHS-0223</t>
        </is>
      </c>
      <c r="B633" t="n">
        <v>3</v>
      </c>
      <c r="C633" t="inlineStr">
        <is>
          <t>Angel; Stitch</t>
        </is>
      </c>
      <c r="D633" t="inlineStr">
        <is>
          <t>Angel &amp; Stitch – Celebrating Disney Pins 25th Anniversary Limited Edition Pin Set Series, 2 of 4</t>
        </is>
      </c>
      <c r="E633" t="inlineStr"/>
      <c r="F633" t="inlineStr"/>
      <c r="G633" t="inlineStr">
        <is>
          <t>N</t>
        </is>
      </c>
      <c r="H633" t="inlineStr"/>
      <c r="I633" t="inlineStr">
        <is>
          <t>none</t>
        </is>
      </c>
      <c r="J633" t="inlineStr">
        <is>
          <t>candidate</t>
        </is>
      </c>
      <c r="K633" t="inlineStr">
        <is>
          <t>High</t>
        </is>
      </c>
      <c r="L633" t="inlineStr">
        <is>
          <t>dsuk/2025/celebrating-disney-pins-25-series-2/stitch-with-angel</t>
        </is>
      </c>
    </row>
    <row r="634">
      <c r="A634" t="inlineStr">
        <is>
          <t>PHS-0224</t>
        </is>
      </c>
      <c r="B634" t="n">
        <v>1</v>
      </c>
      <c r="C634" t="inlineStr">
        <is>
          <t>Animal</t>
        </is>
      </c>
      <c r="D634" t="inlineStr">
        <is>
          <t>Animal – Disney Parks Pin Trading 25 Years Mystery Pin Set</t>
        </is>
      </c>
      <c r="E634" t="inlineStr"/>
      <c r="F634" t="inlineStr"/>
      <c r="G634" t="inlineStr">
        <is>
          <t>N</t>
        </is>
      </c>
      <c r="H634" t="inlineStr"/>
      <c r="I634" t="inlineStr">
        <is>
          <t>none</t>
        </is>
      </c>
      <c r="J634" t="inlineStr">
        <is>
          <t>candidate</t>
        </is>
      </c>
      <c r="K634" t="inlineStr">
        <is>
          <t>High</t>
        </is>
      </c>
      <c r="L634" t="inlineStr">
        <is>
          <t>dsuk/2025/pin-trading-25-years-mystery-set/animal</t>
        </is>
      </c>
    </row>
    <row r="635">
      <c r="A635" t="inlineStr">
        <is>
          <t>PHS-0224</t>
        </is>
      </c>
      <c r="B635" t="n">
        <v>2</v>
      </c>
      <c r="C635" t="inlineStr">
        <is>
          <t>Baymax</t>
        </is>
      </c>
      <c r="D635" t="inlineStr">
        <is>
          <t>Baymax – Disney Parks Pin Trading 25 Years Mystery Pin Set</t>
        </is>
      </c>
      <c r="E635" t="inlineStr"/>
      <c r="F635" t="inlineStr"/>
      <c r="G635" t="inlineStr">
        <is>
          <t>N</t>
        </is>
      </c>
      <c r="H635" t="inlineStr"/>
      <c r="I635" t="inlineStr">
        <is>
          <t>none</t>
        </is>
      </c>
      <c r="J635" t="inlineStr">
        <is>
          <t>candidate</t>
        </is>
      </c>
      <c r="K635" t="inlineStr">
        <is>
          <t>High</t>
        </is>
      </c>
      <c r="L635" t="inlineStr">
        <is>
          <t>dsuk/2025/pin-trading-25-years-mystery-set/baymax</t>
        </is>
      </c>
    </row>
    <row r="636">
      <c r="A636" t="inlineStr">
        <is>
          <t>PHS-0224</t>
        </is>
      </c>
      <c r="B636" t="n">
        <v>3</v>
      </c>
      <c r="C636" t="inlineStr">
        <is>
          <t>Donald Duck</t>
        </is>
      </c>
      <c r="D636" t="inlineStr">
        <is>
          <t>Donald Duck – Disney Parks Pin Trading 25 Years Mystery Pin Set</t>
        </is>
      </c>
      <c r="E636" t="inlineStr"/>
      <c r="F636" t="inlineStr"/>
      <c r="G636" t="inlineStr">
        <is>
          <t>N</t>
        </is>
      </c>
      <c r="H636" t="inlineStr"/>
      <c r="I636" t="inlineStr">
        <is>
          <t>none</t>
        </is>
      </c>
      <c r="J636" t="inlineStr">
        <is>
          <t>candidate</t>
        </is>
      </c>
      <c r="K636" t="inlineStr">
        <is>
          <t>High</t>
        </is>
      </c>
      <c r="L636" t="inlineStr">
        <is>
          <t>dsuk/2025/pin-trading-25-years-mystery-set/donald-duck</t>
        </is>
      </c>
    </row>
    <row r="637">
      <c r="A637" t="inlineStr">
        <is>
          <t>PHS-0224</t>
        </is>
      </c>
      <c r="B637" t="n">
        <v>4</v>
      </c>
      <c r="C637" t="inlineStr">
        <is>
          <t>Genie</t>
        </is>
      </c>
      <c r="D637" t="inlineStr">
        <is>
          <t>Genie – Disney Parks Pin Trading 25 Years Mystery Pin Set</t>
        </is>
      </c>
      <c r="E637" t="inlineStr"/>
      <c r="F637" t="inlineStr"/>
      <c r="G637" t="inlineStr">
        <is>
          <t>N</t>
        </is>
      </c>
      <c r="H637" t="inlineStr"/>
      <c r="I637" t="inlineStr">
        <is>
          <t>none</t>
        </is>
      </c>
      <c r="J637" t="inlineStr">
        <is>
          <t>candidate</t>
        </is>
      </c>
      <c r="K637" t="inlineStr">
        <is>
          <t>High</t>
        </is>
      </c>
      <c r="L637" t="inlineStr">
        <is>
          <t>dsuk/2025/pin-trading-25-years-mystery-set/genie</t>
        </is>
      </c>
    </row>
    <row r="638">
      <c r="A638" t="inlineStr">
        <is>
          <t>PHS-0224</t>
        </is>
      </c>
      <c r="B638" t="n">
        <v>5</v>
      </c>
      <c r="C638" t="inlineStr">
        <is>
          <t>Goofy</t>
        </is>
      </c>
      <c r="D638" t="inlineStr">
        <is>
          <t>Goofy – Disney Parks Pin Trading 25 Years Mystery Pin Set</t>
        </is>
      </c>
      <c r="E638" t="inlineStr"/>
      <c r="F638" t="inlineStr"/>
      <c r="G638" t="inlineStr">
        <is>
          <t>N</t>
        </is>
      </c>
      <c r="H638" t="inlineStr"/>
      <c r="I638" t="inlineStr">
        <is>
          <t>none</t>
        </is>
      </c>
      <c r="J638" t="inlineStr">
        <is>
          <t>candidate</t>
        </is>
      </c>
      <c r="K638" t="inlineStr">
        <is>
          <t>High</t>
        </is>
      </c>
      <c r="L638" t="inlineStr">
        <is>
          <t>dsuk/2025/pin-trading-25-years-mystery-set/goofy</t>
        </is>
      </c>
    </row>
    <row r="639">
      <c r="A639" t="inlineStr">
        <is>
          <t>PHS-0224</t>
        </is>
      </c>
      <c r="B639" t="n">
        <v>6</v>
      </c>
      <c r="C639" t="inlineStr">
        <is>
          <t>Minnie Mouse</t>
        </is>
      </c>
      <c r="D639" t="inlineStr">
        <is>
          <t>Minnie Mouse – Disney Parks Pin Trading 25 Years Mystery Pin Set</t>
        </is>
      </c>
      <c r="E639" t="inlineStr"/>
      <c r="F639" t="inlineStr"/>
      <c r="G639" t="inlineStr">
        <is>
          <t>N</t>
        </is>
      </c>
      <c r="H639" t="inlineStr"/>
      <c r="I639" t="inlineStr">
        <is>
          <t>none</t>
        </is>
      </c>
      <c r="J639" t="inlineStr">
        <is>
          <t>candidate</t>
        </is>
      </c>
      <c r="K639" t="inlineStr">
        <is>
          <t>High</t>
        </is>
      </c>
      <c r="L639" t="inlineStr">
        <is>
          <t>dsuk/2025/pin-trading-25-years-mystery-set/minnie-mouse</t>
        </is>
      </c>
    </row>
    <row r="640">
      <c r="A640" t="inlineStr">
        <is>
          <t>PHS-0224</t>
        </is>
      </c>
      <c r="B640" t="n">
        <v>7</v>
      </c>
      <c r="C640" t="inlineStr">
        <is>
          <t>Miss Piggy</t>
        </is>
      </c>
      <c r="D640" t="inlineStr">
        <is>
          <t>Miss Piggy – Disney Parks Pin Trading 25 Years Mystery Pin Set</t>
        </is>
      </c>
      <c r="E640" t="inlineStr"/>
      <c r="F640" t="inlineStr"/>
      <c r="G640" t="inlineStr">
        <is>
          <t>N</t>
        </is>
      </c>
      <c r="H640" t="inlineStr"/>
      <c r="I640" t="inlineStr">
        <is>
          <t>none</t>
        </is>
      </c>
      <c r="J640" t="inlineStr">
        <is>
          <t>candidate</t>
        </is>
      </c>
      <c r="K640" t="inlineStr">
        <is>
          <t>High</t>
        </is>
      </c>
      <c r="L640" t="inlineStr">
        <is>
          <t>dsuk/2025/pin-trading-25-years-mystery-set/miss-piggy</t>
        </is>
      </c>
    </row>
    <row r="641">
      <c r="A641" t="inlineStr">
        <is>
          <t>PHS-0224</t>
        </is>
      </c>
      <c r="B641" t="n">
        <v>8</v>
      </c>
      <c r="C641" t="inlineStr">
        <is>
          <t>Pete</t>
        </is>
      </c>
      <c r="D641" t="inlineStr">
        <is>
          <t>Pete – Disney Parks Pin Trading 25 Years Mystery Pin Set</t>
        </is>
      </c>
      <c r="E641" t="inlineStr"/>
      <c r="F641" t="inlineStr"/>
      <c r="G641" t="inlineStr">
        <is>
          <t>N</t>
        </is>
      </c>
      <c r="H641" t="inlineStr"/>
      <c r="I641" t="inlineStr">
        <is>
          <t>none</t>
        </is>
      </c>
      <c r="J641" t="inlineStr">
        <is>
          <t>candidate</t>
        </is>
      </c>
      <c r="K641" t="inlineStr">
        <is>
          <t>High</t>
        </is>
      </c>
      <c r="L641" t="inlineStr">
        <is>
          <t>dsuk/2025/pin-trading-25-years-mystery-set/pete</t>
        </is>
      </c>
    </row>
    <row r="642">
      <c r="A642" t="inlineStr">
        <is>
          <t>PHS-0224</t>
        </is>
      </c>
      <c r="B642" t="n">
        <v>9</v>
      </c>
      <c r="C642" t="inlineStr">
        <is>
          <t>Pluto</t>
        </is>
      </c>
      <c r="D642" t="inlineStr">
        <is>
          <t>Pluto – Disney Parks Pin Trading 25 Years Mystery Pin Set</t>
        </is>
      </c>
      <c r="E642" t="inlineStr"/>
      <c r="F642" t="inlineStr"/>
      <c r="G642" t="inlineStr">
        <is>
          <t>N</t>
        </is>
      </c>
      <c r="H642" t="inlineStr"/>
      <c r="I642" t="inlineStr">
        <is>
          <t>none</t>
        </is>
      </c>
      <c r="J642" t="inlineStr">
        <is>
          <t>candidate</t>
        </is>
      </c>
      <c r="K642" t="inlineStr">
        <is>
          <t>High</t>
        </is>
      </c>
      <c r="L642" t="inlineStr">
        <is>
          <t>dsuk/2025/pin-trading-25-years-mystery-set/pluto</t>
        </is>
      </c>
    </row>
    <row r="643">
      <c r="A643" t="inlineStr">
        <is>
          <t>PHS-0224</t>
        </is>
      </c>
      <c r="B643" t="n">
        <v>10</v>
      </c>
      <c r="C643" t="inlineStr">
        <is>
          <t>Stitch</t>
        </is>
      </c>
      <c r="D643" t="inlineStr">
        <is>
          <t>Stitch – Disney Parks Pin Trading 25 Years Mystery Pin Set</t>
        </is>
      </c>
      <c r="E643" t="inlineStr"/>
      <c r="F643" t="inlineStr"/>
      <c r="G643" t="inlineStr">
        <is>
          <t>N</t>
        </is>
      </c>
      <c r="H643" t="inlineStr"/>
      <c r="I643" t="inlineStr">
        <is>
          <t>none</t>
        </is>
      </c>
      <c r="J643" t="inlineStr">
        <is>
          <t>candidate</t>
        </is>
      </c>
      <c r="K643" t="inlineStr">
        <is>
          <t>High</t>
        </is>
      </c>
      <c r="L643" t="inlineStr">
        <is>
          <t>dsuk/2025/pin-trading-25-years-mystery-set/stitch</t>
        </is>
      </c>
    </row>
    <row r="644">
      <c r="A644" t="inlineStr">
        <is>
          <t>PHS-0225</t>
        </is>
      </c>
      <c r="B644" t="n">
        <v>1</v>
      </c>
      <c r="C644" t="inlineStr">
        <is>
          <t>Angel</t>
        </is>
      </c>
      <c r="D644" t="inlineStr">
        <is>
          <t>Experiment 624 (Angel)</t>
        </is>
      </c>
      <c r="E644" t="inlineStr"/>
      <c r="F644" t="inlineStr"/>
      <c r="G644" t="inlineStr">
        <is>
          <t>N</t>
        </is>
      </c>
      <c r="H644" t="inlineStr"/>
      <c r="I644" t="inlineStr">
        <is>
          <t>none</t>
        </is>
      </c>
      <c r="J644" t="inlineStr">
        <is>
          <t>candidate</t>
        </is>
      </c>
      <c r="K644" t="inlineStr">
        <is>
          <t>High</t>
        </is>
      </c>
      <c r="L644" t="inlineStr">
        <is>
          <t>dsuk/2025/stitch-626-day-2025-experiments-mystery/angel</t>
        </is>
      </c>
    </row>
    <row r="645">
      <c r="A645" t="inlineStr">
        <is>
          <t>PHS-0225</t>
        </is>
      </c>
      <c r="B645" t="n">
        <v>2</v>
      </c>
      <c r="C645" t="inlineStr">
        <is>
          <t>Felix</t>
        </is>
      </c>
      <c r="D645" t="inlineStr">
        <is>
          <t>Experiment 010 (Felix)</t>
        </is>
      </c>
      <c r="E645" t="inlineStr"/>
      <c r="F645" t="inlineStr"/>
      <c r="G645" t="inlineStr">
        <is>
          <t>N</t>
        </is>
      </c>
      <c r="H645" t="inlineStr"/>
      <c r="I645" t="inlineStr">
        <is>
          <t>none</t>
        </is>
      </c>
      <c r="J645" t="inlineStr">
        <is>
          <t>candidate</t>
        </is>
      </c>
      <c r="K645" t="inlineStr">
        <is>
          <t>High</t>
        </is>
      </c>
      <c r="L645" t="inlineStr">
        <is>
          <t>dsuk/2025/stitch-626-day-2025-experiments-mystery/felix</t>
        </is>
      </c>
    </row>
    <row r="646">
      <c r="A646" t="inlineStr">
        <is>
          <t>PHS-0225</t>
        </is>
      </c>
      <c r="B646" t="n">
        <v>3</v>
      </c>
      <c r="C646" t="inlineStr">
        <is>
          <t>Holio</t>
        </is>
      </c>
      <c r="D646" t="inlineStr">
        <is>
          <t>Experiment 606 (Holio)</t>
        </is>
      </c>
      <c r="E646" t="inlineStr"/>
      <c r="F646" t="inlineStr"/>
      <c r="G646" t="inlineStr">
        <is>
          <t>N</t>
        </is>
      </c>
      <c r="H646" t="inlineStr"/>
      <c r="I646" t="inlineStr">
        <is>
          <t>none</t>
        </is>
      </c>
      <c r="J646" t="inlineStr">
        <is>
          <t>candidate</t>
        </is>
      </c>
      <c r="K646" t="inlineStr">
        <is>
          <t>High</t>
        </is>
      </c>
      <c r="L646" t="inlineStr">
        <is>
          <t>dsuk/2025/stitch-626-day-2025-experiments-mystery/holio</t>
        </is>
      </c>
    </row>
    <row r="647">
      <c r="A647" t="inlineStr">
        <is>
          <t>PHS-0225</t>
        </is>
      </c>
      <c r="B647" t="n">
        <v>4</v>
      </c>
      <c r="C647" t="inlineStr">
        <is>
          <t>Houdini</t>
        </is>
      </c>
      <c r="D647" t="inlineStr">
        <is>
          <t>Experiment 604 (Houdini)</t>
        </is>
      </c>
      <c r="E647" t="inlineStr"/>
      <c r="F647" t="inlineStr"/>
      <c r="G647" t="inlineStr">
        <is>
          <t>N</t>
        </is>
      </c>
      <c r="H647" t="inlineStr"/>
      <c r="I647" t="inlineStr">
        <is>
          <t>none</t>
        </is>
      </c>
      <c r="J647" t="inlineStr">
        <is>
          <t>candidate</t>
        </is>
      </c>
      <c r="K647" t="inlineStr">
        <is>
          <t>High</t>
        </is>
      </c>
      <c r="L647" t="inlineStr">
        <is>
          <t>dsuk/2025/stitch-626-day-2025-experiments-mystery/houdini</t>
        </is>
      </c>
    </row>
    <row r="648">
      <c r="A648" t="inlineStr">
        <is>
          <t>PHS-0225</t>
        </is>
      </c>
      <c r="B648" t="n">
        <v>5</v>
      </c>
      <c r="C648" t="inlineStr">
        <is>
          <t>Leroy</t>
        </is>
      </c>
      <c r="D648" t="inlineStr">
        <is>
          <t>Experiment 629 (Leroy)</t>
        </is>
      </c>
      <c r="E648" t="inlineStr"/>
      <c r="F648" t="inlineStr"/>
      <c r="G648" t="inlineStr">
        <is>
          <t>N</t>
        </is>
      </c>
      <c r="H648" t="inlineStr"/>
      <c r="I648" t="inlineStr">
        <is>
          <t>none</t>
        </is>
      </c>
      <c r="J648" t="inlineStr">
        <is>
          <t>candidate</t>
        </is>
      </c>
      <c r="K648" t="inlineStr">
        <is>
          <t>High</t>
        </is>
      </c>
      <c r="L648" t="inlineStr">
        <is>
          <t>dsuk/2025/stitch-626-day-2025-experiments-mystery/leroy</t>
        </is>
      </c>
    </row>
    <row r="649">
      <c r="A649" t="inlineStr">
        <is>
          <t>PHS-0225</t>
        </is>
      </c>
      <c r="B649" t="n">
        <v>6</v>
      </c>
      <c r="C649" t="inlineStr">
        <is>
          <t>Reuben</t>
        </is>
      </c>
      <c r="D649" t="inlineStr">
        <is>
          <t>Experiment 625 (Reuben)</t>
        </is>
      </c>
      <c r="E649" t="inlineStr"/>
      <c r="F649" t="inlineStr"/>
      <c r="G649" t="inlineStr">
        <is>
          <t>N</t>
        </is>
      </c>
      <c r="H649" t="inlineStr"/>
      <c r="I649" t="inlineStr">
        <is>
          <t>none</t>
        </is>
      </c>
      <c r="J649" t="inlineStr">
        <is>
          <t>candidate</t>
        </is>
      </c>
      <c r="K649" t="inlineStr">
        <is>
          <t>High</t>
        </is>
      </c>
      <c r="L649" t="inlineStr">
        <is>
          <t>dsuk/2025/stitch-626-day-2025-experiments-mystery/reuben</t>
        </is>
      </c>
    </row>
    <row r="650">
      <c r="A650" t="inlineStr">
        <is>
          <t>PHS-0225</t>
        </is>
      </c>
      <c r="B650" t="n">
        <v>7</v>
      </c>
      <c r="C650" t="inlineStr">
        <is>
          <t>Sparky</t>
        </is>
      </c>
      <c r="D650" t="inlineStr">
        <is>
          <t>Experiment 221 (Sparky)</t>
        </is>
      </c>
      <c r="E650" t="inlineStr"/>
      <c r="F650" t="inlineStr"/>
      <c r="G650" t="inlineStr">
        <is>
          <t>N</t>
        </is>
      </c>
      <c r="H650" t="inlineStr"/>
      <c r="I650" t="inlineStr">
        <is>
          <t>none</t>
        </is>
      </c>
      <c r="J650" t="inlineStr">
        <is>
          <t>candidate</t>
        </is>
      </c>
      <c r="K650" t="inlineStr">
        <is>
          <t>High</t>
        </is>
      </c>
      <c r="L650" t="inlineStr">
        <is>
          <t>dsuk/2025/stitch-626-day-2025-experiments-mystery/sparky</t>
        </is>
      </c>
    </row>
    <row r="651">
      <c r="A651" t="inlineStr">
        <is>
          <t>PHS-0225</t>
        </is>
      </c>
      <c r="B651" t="n">
        <v>8</v>
      </c>
      <c r="C651" t="inlineStr">
        <is>
          <t>Splodyhead</t>
        </is>
      </c>
      <c r="D651" t="inlineStr">
        <is>
          <t>Experiment 619 (Splodyhead)</t>
        </is>
      </c>
      <c r="E651" t="inlineStr"/>
      <c r="F651" t="inlineStr"/>
      <c r="G651" t="inlineStr">
        <is>
          <t>N</t>
        </is>
      </c>
      <c r="H651" t="inlineStr"/>
      <c r="I651" t="inlineStr">
        <is>
          <t>none</t>
        </is>
      </c>
      <c r="J651" t="inlineStr">
        <is>
          <t>candidate</t>
        </is>
      </c>
      <c r="K651" t="inlineStr">
        <is>
          <t>High</t>
        </is>
      </c>
      <c r="L651" t="inlineStr">
        <is>
          <t>dsuk/2025/stitch-626-day-2025-experiments-mystery/splodyhead</t>
        </is>
      </c>
    </row>
    <row r="652">
      <c r="A652" t="inlineStr">
        <is>
          <t>PHS-0225</t>
        </is>
      </c>
      <c r="B652" t="n">
        <v>9</v>
      </c>
      <c r="C652" t="inlineStr">
        <is>
          <t>Stitch</t>
        </is>
      </c>
      <c r="D652" t="inlineStr">
        <is>
          <t>Experiment 626 (Stitch)</t>
        </is>
      </c>
      <c r="E652" t="inlineStr"/>
      <c r="F652" t="inlineStr"/>
      <c r="G652" t="inlineStr">
        <is>
          <t>N</t>
        </is>
      </c>
      <c r="H652" t="inlineStr"/>
      <c r="I652" t="inlineStr">
        <is>
          <t>none</t>
        </is>
      </c>
      <c r="J652" t="inlineStr">
        <is>
          <t>candidate</t>
        </is>
      </c>
      <c r="K652" t="inlineStr">
        <is>
          <t>High</t>
        </is>
      </c>
      <c r="L652" t="inlineStr">
        <is>
          <t>dsuk/2025/stitch-626-day-2025-experiments-mystery/stitch</t>
        </is>
      </c>
    </row>
    <row r="653">
      <c r="A653" t="inlineStr">
        <is>
          <t>PHS-0225</t>
        </is>
      </c>
      <c r="B653" t="n">
        <v>10</v>
      </c>
      <c r="C653" t="inlineStr">
        <is>
          <t>Yang</t>
        </is>
      </c>
      <c r="D653" t="inlineStr">
        <is>
          <t>Experiment 502 (Yang)</t>
        </is>
      </c>
      <c r="E653" t="inlineStr"/>
      <c r="F653" t="inlineStr"/>
      <c r="G653" t="inlineStr">
        <is>
          <t>N</t>
        </is>
      </c>
      <c r="H653" t="inlineStr"/>
      <c r="I653" t="inlineStr">
        <is>
          <t>none</t>
        </is>
      </c>
      <c r="J653" t="inlineStr">
        <is>
          <t>candidate</t>
        </is>
      </c>
      <c r="K653" t="inlineStr">
        <is>
          <t>High</t>
        </is>
      </c>
      <c r="L653" t="inlineStr">
        <is>
          <t>dsuk/2025/stitch-626-day-2025-experiments-mystery/yang</t>
        </is>
      </c>
    </row>
    <row r="654">
      <c r="A654" t="inlineStr">
        <is>
          <t>PHS-0226</t>
        </is>
      </c>
      <c r="B654" t="n">
        <v>1</v>
      </c>
      <c r="C654" t="inlineStr">
        <is>
          <t>Chip</t>
        </is>
      </c>
      <c r="D654" t="inlineStr">
        <is>
          <t>Chip – Disney Halloween Limited Edition Countdown Pin Advent Calendar</t>
        </is>
      </c>
      <c r="E654" t="inlineStr"/>
      <c r="F654" t="n">
        <v>1000</v>
      </c>
      <c r="G654" t="inlineStr">
        <is>
          <t>N</t>
        </is>
      </c>
      <c r="H654" t="inlineStr"/>
      <c r="I654" t="inlineStr">
        <is>
          <t>none</t>
        </is>
      </c>
      <c r="J654" t="inlineStr">
        <is>
          <t>candidate</t>
        </is>
      </c>
      <c r="K654" t="inlineStr">
        <is>
          <t>High</t>
        </is>
      </c>
      <c r="L654" t="inlineStr">
        <is>
          <t>dsuk/2025/halloween-countdown-pin-advent-calendar/chip</t>
        </is>
      </c>
    </row>
    <row r="655">
      <c r="A655" t="inlineStr">
        <is>
          <t>PHS-0226</t>
        </is>
      </c>
      <c r="B655" t="n">
        <v>2</v>
      </c>
      <c r="C655" t="inlineStr">
        <is>
          <t>Daisy Duck</t>
        </is>
      </c>
      <c r="D655" t="inlineStr">
        <is>
          <t>Daisy Duck – Disney Halloween Limited Edition Countdown Pin Advent Calendar</t>
        </is>
      </c>
      <c r="E655" t="inlineStr"/>
      <c r="F655" t="n">
        <v>1000</v>
      </c>
      <c r="G655" t="inlineStr">
        <is>
          <t>N</t>
        </is>
      </c>
      <c r="H655" t="inlineStr"/>
      <c r="I655" t="inlineStr">
        <is>
          <t>none</t>
        </is>
      </c>
      <c r="J655" t="inlineStr">
        <is>
          <t>candidate</t>
        </is>
      </c>
      <c r="K655" t="inlineStr">
        <is>
          <t>High</t>
        </is>
      </c>
      <c r="L655" t="inlineStr">
        <is>
          <t>dsuk/2025/halloween-countdown-pin-advent-calendar/daisy</t>
        </is>
      </c>
    </row>
    <row r="656">
      <c r="A656" t="inlineStr">
        <is>
          <t>PHS-0226</t>
        </is>
      </c>
      <c r="B656" t="n">
        <v>3</v>
      </c>
      <c r="C656" t="inlineStr">
        <is>
          <t>Dale</t>
        </is>
      </c>
      <c r="D656" t="inlineStr">
        <is>
          <t>Dale – Disney Halloween Limited Edition Countdown Pin Advent Calendar</t>
        </is>
      </c>
      <c r="E656" t="inlineStr"/>
      <c r="F656" t="n">
        <v>1000</v>
      </c>
      <c r="G656" t="inlineStr">
        <is>
          <t>N</t>
        </is>
      </c>
      <c r="H656" t="inlineStr"/>
      <c r="I656" t="inlineStr">
        <is>
          <t>none</t>
        </is>
      </c>
      <c r="J656" t="inlineStr">
        <is>
          <t>candidate</t>
        </is>
      </c>
      <c r="K656" t="inlineStr">
        <is>
          <t>High</t>
        </is>
      </c>
      <c r="L656" t="inlineStr">
        <is>
          <t>dsuk/2025/halloween-countdown-pin-advent-calendar/dale</t>
        </is>
      </c>
    </row>
    <row r="657">
      <c r="A657" t="inlineStr">
        <is>
          <t>PHS-0226</t>
        </is>
      </c>
      <c r="B657" t="n">
        <v>4</v>
      </c>
      <c r="C657" t="inlineStr">
        <is>
          <t>Donald Duck</t>
        </is>
      </c>
      <c r="D657" t="inlineStr">
        <is>
          <t>Donald Duck – Disney Halloween Limited Edition Countdown Pin Advent Calendar</t>
        </is>
      </c>
      <c r="E657" t="inlineStr"/>
      <c r="F657" t="n">
        <v>1000</v>
      </c>
      <c r="G657" t="inlineStr">
        <is>
          <t>N</t>
        </is>
      </c>
      <c r="H657" t="inlineStr"/>
      <c r="I657" t="inlineStr">
        <is>
          <t>none</t>
        </is>
      </c>
      <c r="J657" t="inlineStr">
        <is>
          <t>candidate</t>
        </is>
      </c>
      <c r="K657" t="inlineStr">
        <is>
          <t>High</t>
        </is>
      </c>
      <c r="L657" t="inlineStr">
        <is>
          <t>dsuk/2025/halloween-countdown-pin-advent-calendar/donald</t>
        </is>
      </c>
    </row>
    <row r="658">
      <c r="A658" t="inlineStr">
        <is>
          <t>PHS-0226</t>
        </is>
      </c>
      <c r="B658" t="n">
        <v>5</v>
      </c>
      <c r="C658" t="inlineStr">
        <is>
          <t>Eeyore</t>
        </is>
      </c>
      <c r="D658" t="inlineStr">
        <is>
          <t>Eeyore – Disney Halloween Limited Edition Countdown Pin Advent Calendar</t>
        </is>
      </c>
      <c r="E658" t="inlineStr"/>
      <c r="F658" t="n">
        <v>1000</v>
      </c>
      <c r="G658" t="inlineStr">
        <is>
          <t>N</t>
        </is>
      </c>
      <c r="H658" t="inlineStr"/>
      <c r="I658" t="inlineStr">
        <is>
          <t>none</t>
        </is>
      </c>
      <c r="J658" t="inlineStr">
        <is>
          <t>candidate</t>
        </is>
      </c>
      <c r="K658" t="inlineStr">
        <is>
          <t>High</t>
        </is>
      </c>
      <c r="L658" t="inlineStr">
        <is>
          <t>dsuk/2025/halloween-countdown-pin-advent-calendar/eeyore</t>
        </is>
      </c>
    </row>
    <row r="659">
      <c r="A659" t="inlineStr">
        <is>
          <t>PHS-0226</t>
        </is>
      </c>
      <c r="B659" t="n">
        <v>6</v>
      </c>
      <c r="C659" t="inlineStr">
        <is>
          <t>Goofy</t>
        </is>
      </c>
      <c r="D659" t="inlineStr">
        <is>
          <t>Goofy – Disney Halloween Limited Edition Countdown Pin Advent Calendar</t>
        </is>
      </c>
      <c r="E659" t="inlineStr"/>
      <c r="F659" t="n">
        <v>1000</v>
      </c>
      <c r="G659" t="inlineStr">
        <is>
          <t>N</t>
        </is>
      </c>
      <c r="H659" t="inlineStr"/>
      <c r="I659" t="inlineStr">
        <is>
          <t>none</t>
        </is>
      </c>
      <c r="J659" t="inlineStr">
        <is>
          <t>candidate</t>
        </is>
      </c>
      <c r="K659" t="inlineStr">
        <is>
          <t>High</t>
        </is>
      </c>
      <c r="L659" t="inlineStr">
        <is>
          <t>dsuk/2025/halloween-countdown-pin-advent-calendar/goofy</t>
        </is>
      </c>
    </row>
    <row r="660">
      <c r="A660" t="inlineStr">
        <is>
          <t>PHS-0226</t>
        </is>
      </c>
      <c r="B660" t="n">
        <v>7</v>
      </c>
      <c r="C660" t="inlineStr">
        <is>
          <t>Max</t>
        </is>
      </c>
      <c r="D660" t="inlineStr">
        <is>
          <t>Max – Disney Halloween Limited Edition Countdown Pin Advent Calendar</t>
        </is>
      </c>
      <c r="E660" t="inlineStr"/>
      <c r="F660" t="n">
        <v>1000</v>
      </c>
      <c r="G660" t="inlineStr">
        <is>
          <t>N</t>
        </is>
      </c>
      <c r="H660" t="inlineStr"/>
      <c r="I660" t="inlineStr">
        <is>
          <t>none</t>
        </is>
      </c>
      <c r="J660" t="inlineStr">
        <is>
          <t>candidate</t>
        </is>
      </c>
      <c r="K660" t="inlineStr">
        <is>
          <t>High</t>
        </is>
      </c>
      <c r="L660" t="inlineStr">
        <is>
          <t>dsuk/2025/halloween-countdown-pin-advent-calendar/max</t>
        </is>
      </c>
    </row>
    <row r="661">
      <c r="A661" t="inlineStr">
        <is>
          <t>PHS-0226</t>
        </is>
      </c>
      <c r="B661" t="n">
        <v>8</v>
      </c>
      <c r="C661" t="inlineStr">
        <is>
          <t>Mickey Mouse</t>
        </is>
      </c>
      <c r="D661" t="inlineStr">
        <is>
          <t>Mickey Mouse – Disney Halloween Limited Edition Countdown Pin Advent Calendar</t>
        </is>
      </c>
      <c r="E661" t="inlineStr"/>
      <c r="F661" t="n">
        <v>1000</v>
      </c>
      <c r="G661" t="inlineStr">
        <is>
          <t>N</t>
        </is>
      </c>
      <c r="H661" t="inlineStr"/>
      <c r="I661" t="inlineStr">
        <is>
          <t>none</t>
        </is>
      </c>
      <c r="J661" t="inlineStr">
        <is>
          <t>candidate</t>
        </is>
      </c>
      <c r="K661" t="inlineStr">
        <is>
          <t>High</t>
        </is>
      </c>
      <c r="L661" t="inlineStr">
        <is>
          <t>dsuk/2025/halloween-countdown-pin-advent-calendar/mickey</t>
        </is>
      </c>
    </row>
    <row r="662">
      <c r="A662" t="inlineStr">
        <is>
          <t>PHS-0226</t>
        </is>
      </c>
      <c r="B662" t="n">
        <v>9</v>
      </c>
      <c r="C662" t="inlineStr">
        <is>
          <t>Minnie Mouse</t>
        </is>
      </c>
      <c r="D662" t="inlineStr">
        <is>
          <t>Minnie Mouse – Disney Halloween Limited Edition Countdown Pin Advent Calendar</t>
        </is>
      </c>
      <c r="E662" t="inlineStr"/>
      <c r="F662" t="n">
        <v>1000</v>
      </c>
      <c r="G662" t="inlineStr">
        <is>
          <t>N</t>
        </is>
      </c>
      <c r="H662" t="inlineStr"/>
      <c r="I662" t="inlineStr">
        <is>
          <t>none</t>
        </is>
      </c>
      <c r="J662" t="inlineStr">
        <is>
          <t>candidate</t>
        </is>
      </c>
      <c r="K662" t="inlineStr">
        <is>
          <t>High</t>
        </is>
      </c>
      <c r="L662" t="inlineStr">
        <is>
          <t>dsuk/2025/halloween-countdown-pin-advent-calendar/minnie</t>
        </is>
      </c>
    </row>
    <row r="663">
      <c r="A663" t="inlineStr">
        <is>
          <t>PHS-0226</t>
        </is>
      </c>
      <c r="B663" t="n">
        <v>10</v>
      </c>
      <c r="C663" t="inlineStr">
        <is>
          <t>Piglet</t>
        </is>
      </c>
      <c r="D663" t="inlineStr">
        <is>
          <t>Piglet – Disney Halloween Limited Edition Countdown Pin Advent Calendar</t>
        </is>
      </c>
      <c r="E663" t="inlineStr"/>
      <c r="F663" t="n">
        <v>1000</v>
      </c>
      <c r="G663" t="inlineStr">
        <is>
          <t>N</t>
        </is>
      </c>
      <c r="H663" t="inlineStr"/>
      <c r="I663" t="inlineStr">
        <is>
          <t>none</t>
        </is>
      </c>
      <c r="J663" t="inlineStr">
        <is>
          <t>candidate</t>
        </is>
      </c>
      <c r="K663" t="inlineStr">
        <is>
          <t>High</t>
        </is>
      </c>
      <c r="L663" t="inlineStr">
        <is>
          <t>dsuk/2025/halloween-countdown-pin-advent-calendar/piglet</t>
        </is>
      </c>
    </row>
    <row r="664">
      <c r="A664" t="inlineStr">
        <is>
          <t>PHS-0226</t>
        </is>
      </c>
      <c r="B664" t="n">
        <v>11</v>
      </c>
      <c r="C664" t="inlineStr">
        <is>
          <t>Pluto</t>
        </is>
      </c>
      <c r="D664" t="inlineStr">
        <is>
          <t>Pluto – Disney Halloween Limited Edition Countdown Pin Advent Calendar</t>
        </is>
      </c>
      <c r="E664" t="inlineStr"/>
      <c r="F664" t="n">
        <v>1000</v>
      </c>
      <c r="G664" t="inlineStr">
        <is>
          <t>N</t>
        </is>
      </c>
      <c r="H664" t="inlineStr"/>
      <c r="I664" t="inlineStr">
        <is>
          <t>none</t>
        </is>
      </c>
      <c r="J664" t="inlineStr">
        <is>
          <t>candidate</t>
        </is>
      </c>
      <c r="K664" t="inlineStr">
        <is>
          <t>High</t>
        </is>
      </c>
      <c r="L664" t="inlineStr">
        <is>
          <t>dsuk/2025/halloween-countdown-pin-advent-calendar/pluto</t>
        </is>
      </c>
    </row>
    <row r="665">
      <c r="A665" t="inlineStr">
        <is>
          <t>PHS-0226</t>
        </is>
      </c>
      <c r="B665" t="n">
        <v>12</v>
      </c>
      <c r="C665" t="inlineStr">
        <is>
          <t>Tigger</t>
        </is>
      </c>
      <c r="D665" t="inlineStr">
        <is>
          <t>Tigger – Disney Halloween Limited Edition Countdown Pin Advent Calendar</t>
        </is>
      </c>
      <c r="E665" t="inlineStr"/>
      <c r="F665" t="n">
        <v>1000</v>
      </c>
      <c r="G665" t="inlineStr">
        <is>
          <t>N</t>
        </is>
      </c>
      <c r="H665" t="inlineStr"/>
      <c r="I665" t="inlineStr">
        <is>
          <t>none</t>
        </is>
      </c>
      <c r="J665" t="inlineStr">
        <is>
          <t>candidate</t>
        </is>
      </c>
      <c r="K665" t="inlineStr">
        <is>
          <t>High</t>
        </is>
      </c>
      <c r="L665" t="inlineStr">
        <is>
          <t>dsuk/2025/halloween-countdown-pin-advent-calendar/tigger</t>
        </is>
      </c>
    </row>
    <row r="666">
      <c r="A666" t="inlineStr">
        <is>
          <t>PHS-0226</t>
        </is>
      </c>
      <c r="B666" t="n">
        <v>13</v>
      </c>
      <c r="C666" t="inlineStr">
        <is>
          <t>Winnie the Pooh</t>
        </is>
      </c>
      <c r="D666" t="inlineStr">
        <is>
          <t>Winnie the Pooh – Disney Halloween Limited Edition Countdown Pin Advent Calendar</t>
        </is>
      </c>
      <c r="E666" t="inlineStr"/>
      <c r="F666" t="n">
        <v>1000</v>
      </c>
      <c r="G666" t="inlineStr">
        <is>
          <t>N</t>
        </is>
      </c>
      <c r="H666" t="inlineStr"/>
      <c r="I666" t="inlineStr">
        <is>
          <t>none</t>
        </is>
      </c>
      <c r="J666" t="inlineStr">
        <is>
          <t>candidate</t>
        </is>
      </c>
      <c r="K666" t="inlineStr">
        <is>
          <t>High</t>
        </is>
      </c>
      <c r="L666" t="inlineStr">
        <is>
          <t>dsuk/2025/halloween-countdown-pin-advent-calendar/winnie-the-pooh</t>
        </is>
      </c>
    </row>
    <row r="667">
      <c r="A667" t="inlineStr">
        <is>
          <t>PHS-0227</t>
        </is>
      </c>
      <c r="B667" t="n">
        <v>1</v>
      </c>
      <c r="C667" t="inlineStr">
        <is>
          <t>Animal</t>
        </is>
      </c>
      <c r="D667" t="inlineStr">
        <is>
          <t>Animal – Celebrating Disney Pins 25th Anniversary Limited Edition Pin Set Series, 3 of 4</t>
        </is>
      </c>
      <c r="E667" t="inlineStr"/>
      <c r="F667" t="n">
        <v>900</v>
      </c>
      <c r="G667" t="inlineStr">
        <is>
          <t>N</t>
        </is>
      </c>
      <c r="H667" t="inlineStr"/>
      <c r="I667" t="inlineStr">
        <is>
          <t>none</t>
        </is>
      </c>
      <c r="J667" t="inlineStr">
        <is>
          <t>candidate</t>
        </is>
      </c>
      <c r="K667" t="inlineStr">
        <is>
          <t>High</t>
        </is>
      </c>
      <c r="L667" t="inlineStr">
        <is>
          <t>dsuk/2025/celebrating-disney-pins-25-series-3/animal</t>
        </is>
      </c>
    </row>
    <row r="668">
      <c r="A668" t="inlineStr">
        <is>
          <t>PHS-0227</t>
        </is>
      </c>
      <c r="B668" t="n">
        <v>2</v>
      </c>
      <c r="C668" t="inlineStr">
        <is>
          <t>Fozzie Bear</t>
        </is>
      </c>
      <c r="D668" t="inlineStr">
        <is>
          <t>Fozzie Bear – Celebrating Disney Pins 25th Anniversary Limited Edition Pin Set Series, 3 of 4</t>
        </is>
      </c>
      <c r="E668" t="inlineStr"/>
      <c r="F668" t="n">
        <v>900</v>
      </c>
      <c r="G668" t="inlineStr">
        <is>
          <t>N</t>
        </is>
      </c>
      <c r="H668" t="inlineStr"/>
      <c r="I668" t="inlineStr">
        <is>
          <t>none</t>
        </is>
      </c>
      <c r="J668" t="inlineStr">
        <is>
          <t>candidate</t>
        </is>
      </c>
      <c r="K668" t="inlineStr">
        <is>
          <t>High</t>
        </is>
      </c>
      <c r="L668" t="inlineStr">
        <is>
          <t>dsuk/2025/celebrating-disney-pins-25-series-3/fozzie</t>
        </is>
      </c>
    </row>
    <row r="669">
      <c r="A669" t="inlineStr">
        <is>
          <t>PHS-0227</t>
        </is>
      </c>
      <c r="B669" t="n">
        <v>3</v>
      </c>
      <c r="C669" t="inlineStr">
        <is>
          <t>Kermit the Frog; Miss Piggy</t>
        </is>
      </c>
      <c r="D669" t="inlineStr">
        <is>
          <t>Kermit the Frog &amp; Miss Piggy – Celebrating Disney Pins 25th Anniversary Limited Edition Pin Set Series, 3 of 4</t>
        </is>
      </c>
      <c r="E669" t="inlineStr"/>
      <c r="F669" t="n">
        <v>900</v>
      </c>
      <c r="G669" t="inlineStr">
        <is>
          <t>N</t>
        </is>
      </c>
      <c r="H669" t="inlineStr"/>
      <c r="I669" t="inlineStr">
        <is>
          <t>none</t>
        </is>
      </c>
      <c r="J669" t="inlineStr">
        <is>
          <t>candidate</t>
        </is>
      </c>
      <c r="K669" t="inlineStr">
        <is>
          <t>High</t>
        </is>
      </c>
      <c r="L669" t="inlineStr">
        <is>
          <t>dsuk/2025/celebrating-disney-pins-25-series-3/kermit-and-miss-piggy</t>
        </is>
      </c>
    </row>
    <row r="670">
      <c r="A670" t="inlineStr">
        <is>
          <t>PHS-0228</t>
        </is>
      </c>
      <c r="B670" t="n">
        <v>1</v>
      </c>
      <c r="C670" t="inlineStr">
        <is>
          <t>Daisy Duck</t>
        </is>
      </c>
      <c r="D670" t="inlineStr">
        <is>
          <t>Daisy Duck – Mickey and Friends Celebrating Disney Pins 25th Anniversary Limited Edition Pin Set Series, 4 of 4</t>
        </is>
      </c>
      <c r="E670" t="inlineStr"/>
      <c r="F670" t="inlineStr"/>
      <c r="G670" t="inlineStr">
        <is>
          <t>N</t>
        </is>
      </c>
      <c r="H670" t="inlineStr"/>
      <c r="I670" t="inlineStr">
        <is>
          <t>none</t>
        </is>
      </c>
      <c r="J670" t="inlineStr">
        <is>
          <t>candidate</t>
        </is>
      </c>
      <c r="K670" t="inlineStr">
        <is>
          <t>High</t>
        </is>
      </c>
      <c r="L670" t="inlineStr">
        <is>
          <t>dsuk/2025/celebrating-disney-pins-25-series-4/daisy</t>
        </is>
      </c>
    </row>
    <row r="671">
      <c r="A671" t="inlineStr">
        <is>
          <t>PHS-0228</t>
        </is>
      </c>
      <c r="B671" t="n">
        <v>2</v>
      </c>
      <c r="C671" t="inlineStr">
        <is>
          <t>Mickey Mouse; Minnie Mouse</t>
        </is>
      </c>
      <c r="D671" t="inlineStr">
        <is>
          <t>Mickey Mouse &amp; Minnie Mouse – Mickey and Friends Celebrating Disney Pins 25th Anniversary Limited Edition Pin Set Series, 4 of 4</t>
        </is>
      </c>
      <c r="E671" t="inlineStr"/>
      <c r="F671" t="inlineStr"/>
      <c r="G671" t="inlineStr">
        <is>
          <t>N</t>
        </is>
      </c>
      <c r="H671" t="inlineStr"/>
      <c r="I671" t="inlineStr">
        <is>
          <t>none</t>
        </is>
      </c>
      <c r="J671" t="inlineStr">
        <is>
          <t>candidate</t>
        </is>
      </c>
      <c r="K671" t="inlineStr">
        <is>
          <t>High</t>
        </is>
      </c>
      <c r="L671" t="inlineStr">
        <is>
          <t>dsuk/2025/celebrating-disney-pins-25-series-4/mickey-and-minnie</t>
        </is>
      </c>
    </row>
    <row r="672">
      <c r="A672" t="inlineStr">
        <is>
          <t>PHS-0228</t>
        </is>
      </c>
      <c r="B672" t="n">
        <v>3</v>
      </c>
      <c r="C672" t="inlineStr">
        <is>
          <t>Pluto</t>
        </is>
      </c>
      <c r="D672" t="inlineStr">
        <is>
          <t>Pluto – Mickey and Friends Celebrating Disney Pins 25th Anniversary Limited Edition Pin Set Series, 4 of 4</t>
        </is>
      </c>
      <c r="E672" t="inlineStr"/>
      <c r="F672" t="inlineStr"/>
      <c r="G672" t="inlineStr">
        <is>
          <t>N</t>
        </is>
      </c>
      <c r="H672" t="inlineStr"/>
      <c r="I672" t="inlineStr">
        <is>
          <t>none</t>
        </is>
      </c>
      <c r="J672" t="inlineStr">
        <is>
          <t>candidate</t>
        </is>
      </c>
      <c r="K672" t="inlineStr">
        <is>
          <t>High</t>
        </is>
      </c>
      <c r="L672" t="inlineStr">
        <is>
          <t>dsuk/2025/celebrating-disney-pins-25-series-4/pluto</t>
        </is>
      </c>
    </row>
    <row r="673">
      <c r="A673" t="inlineStr">
        <is>
          <t>PHS-0229</t>
        </is>
      </c>
      <c r="B673" t="n">
        <v>1</v>
      </c>
      <c r="C673" t="inlineStr">
        <is>
          <t>Evil Queen</t>
        </is>
      </c>
      <c r="D673" t="inlineStr">
        <is>
          <t>Evil Queen – The Magic of Disney</t>
        </is>
      </c>
      <c r="E673" t="inlineStr"/>
      <c r="F673" t="n">
        <v>600</v>
      </c>
      <c r="G673" t="inlineStr">
        <is>
          <t>possible</t>
        </is>
      </c>
      <c r="H673" t="inlineStr"/>
      <c r="I673" t="inlineStr">
        <is>
          <t>none</t>
        </is>
      </c>
      <c r="J673" t="inlineStr">
        <is>
          <t>candidate</t>
        </is>
      </c>
      <c r="K673" t="inlineStr">
        <is>
          <t>Low</t>
        </is>
      </c>
      <c r="L673" t="inlineStr">
        <is>
          <t>dsuk/2025/magic-of-disney/evil-queen</t>
        </is>
      </c>
    </row>
    <row r="674">
      <c r="A674" t="inlineStr">
        <is>
          <t>PHS-0229</t>
        </is>
      </c>
      <c r="B674" t="n">
        <v>2</v>
      </c>
      <c r="C674" t="inlineStr">
        <is>
          <t>Jafar</t>
        </is>
      </c>
      <c r="D674" t="inlineStr">
        <is>
          <t>Jafar – The Magic of Disney</t>
        </is>
      </c>
      <c r="E674" t="inlineStr"/>
      <c r="F674" t="inlineStr"/>
      <c r="G674" t="inlineStr">
        <is>
          <t>possible</t>
        </is>
      </c>
      <c r="H674" t="inlineStr"/>
      <c r="I674" t="inlineStr">
        <is>
          <t>none</t>
        </is>
      </c>
      <c r="J674" t="inlineStr">
        <is>
          <t>candidate</t>
        </is>
      </c>
      <c r="K674" t="inlineStr">
        <is>
          <t>Low</t>
        </is>
      </c>
      <c r="L674" t="inlineStr">
        <is>
          <t>dsuk/2025/magic-of-disney/jafar</t>
        </is>
      </c>
    </row>
    <row r="675">
      <c r="A675" t="inlineStr">
        <is>
          <t>PHS-0229</t>
        </is>
      </c>
      <c r="B675" t="n">
        <v>3</v>
      </c>
      <c r="C675" t="inlineStr">
        <is>
          <t>Maleficent</t>
        </is>
      </c>
      <c r="D675" t="inlineStr">
        <is>
          <t>Maleficent as Dragon Pin</t>
        </is>
      </c>
      <c r="E675" t="inlineStr"/>
      <c r="F675" t="n">
        <v>600</v>
      </c>
      <c r="G675" t="inlineStr">
        <is>
          <t>possible</t>
        </is>
      </c>
      <c r="H675" t="inlineStr"/>
      <c r="I675" t="inlineStr">
        <is>
          <t>none</t>
        </is>
      </c>
      <c r="J675" t="inlineStr">
        <is>
          <t>candidate</t>
        </is>
      </c>
      <c r="K675" t="inlineStr">
        <is>
          <t>Low</t>
        </is>
      </c>
      <c r="L675" t="inlineStr">
        <is>
          <t>dsuk/2025/magic-of-disney/maleficent</t>
        </is>
      </c>
    </row>
    <row r="676">
      <c r="A676" t="inlineStr">
        <is>
          <t>PHS-0229</t>
        </is>
      </c>
      <c r="B676" t="n">
        <v>4</v>
      </c>
      <c r="C676" t="inlineStr">
        <is>
          <t>Rapunzel</t>
        </is>
      </c>
      <c r="D676" t="inlineStr">
        <is>
          <t>Rapunzel – The Magic of Disney</t>
        </is>
      </c>
      <c r="E676" t="inlineStr"/>
      <c r="F676" t="inlineStr"/>
      <c r="G676" t="inlineStr">
        <is>
          <t>possible</t>
        </is>
      </c>
      <c r="H676" t="inlineStr"/>
      <c r="I676" t="inlineStr">
        <is>
          <t>none</t>
        </is>
      </c>
      <c r="J676" t="inlineStr">
        <is>
          <t>candidate</t>
        </is>
      </c>
      <c r="K676" t="inlineStr">
        <is>
          <t>Low</t>
        </is>
      </c>
      <c r="L676" t="inlineStr">
        <is>
          <t>dsuk/2025/magic-of-disney/rapunzel</t>
        </is>
      </c>
    </row>
    <row r="677">
      <c r="A677" t="inlineStr">
        <is>
          <t>PHS-0229</t>
        </is>
      </c>
      <c r="B677" t="n">
        <v>5</v>
      </c>
      <c r="C677" t="inlineStr">
        <is>
          <t>Ursula</t>
        </is>
      </c>
      <c r="D677" t="inlineStr">
        <is>
          <t>Ursula – The Magic of Disney</t>
        </is>
      </c>
      <c r="E677" t="inlineStr"/>
      <c r="F677" t="inlineStr"/>
      <c r="G677" t="inlineStr">
        <is>
          <t>possible</t>
        </is>
      </c>
      <c r="H677" t="inlineStr"/>
      <c r="I677" t="inlineStr">
        <is>
          <t>none</t>
        </is>
      </c>
      <c r="J677" t="inlineStr">
        <is>
          <t>candidate</t>
        </is>
      </c>
      <c r="K677" t="inlineStr">
        <is>
          <t>Low</t>
        </is>
      </c>
      <c r="L677" t="inlineStr">
        <is>
          <t>dsuk/2025/magic-of-disney/ursula</t>
        </is>
      </c>
    </row>
    <row r="678">
      <c r="A678" t="inlineStr">
        <is>
          <t>PHS-0229</t>
        </is>
      </c>
      <c r="B678" t="n">
        <v>6</v>
      </c>
      <c r="C678" t="inlineStr">
        <is>
          <t>Yzma</t>
        </is>
      </c>
      <c r="D678" t="inlineStr">
        <is>
          <t>Yzma – The Magic of Disney</t>
        </is>
      </c>
      <c r="E678" t="inlineStr"/>
      <c r="F678" t="inlineStr"/>
      <c r="G678" t="inlineStr">
        <is>
          <t>possible</t>
        </is>
      </c>
      <c r="H678" t="inlineStr"/>
      <c r="I678" t="inlineStr">
        <is>
          <t>none</t>
        </is>
      </c>
      <c r="J678" t="inlineStr">
        <is>
          <t>candidate</t>
        </is>
      </c>
      <c r="K678" t="inlineStr">
        <is>
          <t>Low</t>
        </is>
      </c>
      <c r="L678" t="inlineStr">
        <is>
          <t>dsuk/2025/magic-of-disney/yzma</t>
        </is>
      </c>
    </row>
    <row r="679">
      <c r="A679" t="inlineStr">
        <is>
          <t>PHS-0230</t>
        </is>
      </c>
      <c r="B679" t="n">
        <v>1</v>
      </c>
      <c r="C679" t="inlineStr">
        <is>
          <t>Dr. Facilier</t>
        </is>
      </c>
      <c r="D679" t="inlineStr">
        <is>
          <t>Dr. Facilier – The Magic of Disney Drop 2</t>
        </is>
      </c>
      <c r="E679" t="inlineStr"/>
      <c r="F679" t="n">
        <v>600</v>
      </c>
      <c r="G679" t="inlineStr">
        <is>
          <t>possible</t>
        </is>
      </c>
      <c r="H679" t="inlineStr"/>
      <c r="I679" t="inlineStr">
        <is>
          <t>none</t>
        </is>
      </c>
      <c r="J679" t="inlineStr">
        <is>
          <t>candidate</t>
        </is>
      </c>
      <c r="K679" t="inlineStr">
        <is>
          <t>Low</t>
        </is>
      </c>
      <c r="L679" t="inlineStr">
        <is>
          <t>dsuk/2025/magic-of-disney/drop-2/dr-facilier-spinner</t>
        </is>
      </c>
    </row>
    <row r="680">
      <c r="A680" t="inlineStr">
        <is>
          <t>PHS-0231</t>
        </is>
      </c>
      <c r="B680" t="n">
        <v>1</v>
      </c>
      <c r="C680" t="inlineStr">
        <is>
          <t>Ariel; King Triton</t>
        </is>
      </c>
      <c r="D680" t="inlineStr">
        <is>
          <t>Ariel &amp; King Triton – Ariel and King Triton Father's Day 2026 Limited Release Pin</t>
        </is>
      </c>
      <c r="E680" t="inlineStr"/>
      <c r="F680" t="inlineStr"/>
      <c r="G680" t="inlineStr">
        <is>
          <t>N</t>
        </is>
      </c>
      <c r="H680" t="inlineStr"/>
      <c r="I680" t="inlineStr">
        <is>
          <t>none</t>
        </is>
      </c>
      <c r="J680" t="inlineStr">
        <is>
          <t>candidate</t>
        </is>
      </c>
      <c r="K680" t="inlineStr">
        <is>
          <t>High</t>
        </is>
      </c>
      <c r="L680" t="inlineStr">
        <is>
          <t>dsuk/2026/ariel-king-triton-fathers-day-2026/ariel-and-king-triton</t>
        </is>
      </c>
    </row>
    <row r="681">
      <c r="A681" t="inlineStr">
        <is>
          <t>PHS-0232</t>
        </is>
      </c>
      <c r="B681" t="n">
        <v>1</v>
      </c>
      <c r="C681" t="inlineStr">
        <is>
          <t>627; Experiment 627; Stitch</t>
        </is>
      </c>
      <c r="D681" t="inlineStr">
        <is>
          <t>627 &amp; Experiment 627 &amp; Stitch – Experiment 626 mystery pin set (626 Day 2026)</t>
        </is>
      </c>
      <c r="E681" t="inlineStr"/>
      <c r="F681" t="inlineStr"/>
      <c r="G681" t="inlineStr">
        <is>
          <t>N</t>
        </is>
      </c>
      <c r="H681" t="inlineStr"/>
      <c r="I681" t="inlineStr">
        <is>
          <t>none</t>
        </is>
      </c>
      <c r="J681" t="inlineStr">
        <is>
          <t>candidate</t>
        </is>
      </c>
      <c r="K681" t="inlineStr">
        <is>
          <t>High</t>
        </is>
      </c>
      <c r="L681" t="inlineStr">
        <is>
          <t>dsuk/2026/experiment-626-day-2026-mystery/627</t>
        </is>
      </c>
    </row>
    <row r="682">
      <c r="A682" t="inlineStr">
        <is>
          <t>PHS-0232</t>
        </is>
      </c>
      <c r="B682" t="n">
        <v>2</v>
      </c>
      <c r="C682" t="inlineStr">
        <is>
          <t>Angel; Stitch</t>
        </is>
      </c>
      <c r="D682" t="inlineStr">
        <is>
          <t>Angel &amp; Stitch – Experiment 626 mystery pin set (626 Day 2026)</t>
        </is>
      </c>
      <c r="E682" t="inlineStr"/>
      <c r="F682" t="inlineStr"/>
      <c r="G682" t="inlineStr">
        <is>
          <t>N</t>
        </is>
      </c>
      <c r="H682" t="inlineStr"/>
      <c r="I682" t="inlineStr">
        <is>
          <t>none</t>
        </is>
      </c>
      <c r="J682" t="inlineStr">
        <is>
          <t>candidate</t>
        </is>
      </c>
      <c r="K682" t="inlineStr">
        <is>
          <t>High</t>
        </is>
      </c>
      <c r="L682" t="inlineStr">
        <is>
          <t>dsuk/2026/experiment-626-day-2026-mystery/angel</t>
        </is>
      </c>
    </row>
    <row r="683">
      <c r="A683" t="inlineStr">
        <is>
          <t>PHS-0232</t>
        </is>
      </c>
      <c r="B683" t="n">
        <v>3</v>
      </c>
      <c r="C683" t="inlineStr">
        <is>
          <t>Jumba Jookiba; Stitch</t>
        </is>
      </c>
      <c r="D683" t="inlineStr">
        <is>
          <t>Jumba Jookiba &amp; Stitch – Experiment 626 mystery pin set (626 Day 2026)</t>
        </is>
      </c>
      <c r="E683" t="inlineStr"/>
      <c r="F683" t="inlineStr"/>
      <c r="G683" t="inlineStr">
        <is>
          <t>N</t>
        </is>
      </c>
      <c r="H683" t="inlineStr"/>
      <c r="I683" t="inlineStr">
        <is>
          <t>none</t>
        </is>
      </c>
      <c r="J683" t="inlineStr">
        <is>
          <t>candidate</t>
        </is>
      </c>
      <c r="K683" t="inlineStr">
        <is>
          <t>High</t>
        </is>
      </c>
      <c r="L683" t="inlineStr">
        <is>
          <t>dsuk/2026/experiment-626-day-2026-mystery/jumba</t>
        </is>
      </c>
    </row>
    <row r="684">
      <c r="A684" t="inlineStr">
        <is>
          <t>PHS-0232</t>
        </is>
      </c>
      <c r="B684" t="n">
        <v>4</v>
      </c>
      <c r="C684" t="inlineStr">
        <is>
          <t>Kixx; Stitch</t>
        </is>
      </c>
      <c r="D684" t="inlineStr">
        <is>
          <t>Kixx &amp; Stitch – Experiment 626 mystery pin set (626 Day 2026)</t>
        </is>
      </c>
      <c r="E684" t="inlineStr"/>
      <c r="F684" t="inlineStr"/>
      <c r="G684" t="inlineStr">
        <is>
          <t>N</t>
        </is>
      </c>
      <c r="H684" t="inlineStr"/>
      <c r="I684" t="inlineStr">
        <is>
          <t>none</t>
        </is>
      </c>
      <c r="J684" t="inlineStr">
        <is>
          <t>candidate</t>
        </is>
      </c>
      <c r="K684" t="inlineStr">
        <is>
          <t>High</t>
        </is>
      </c>
      <c r="L684" t="inlineStr">
        <is>
          <t>dsuk/2026/experiment-626-day-2026-mystery/kixx</t>
        </is>
      </c>
    </row>
    <row r="685">
      <c r="A685" t="inlineStr">
        <is>
          <t>PHS-0232</t>
        </is>
      </c>
      <c r="B685" t="n">
        <v>5</v>
      </c>
      <c r="C685" t="inlineStr">
        <is>
          <t>Leroy; Stitch</t>
        </is>
      </c>
      <c r="D685" t="inlineStr">
        <is>
          <t>Leroy &amp; Stitch – Experiment 626 mystery pin set (626 Day 2026)</t>
        </is>
      </c>
      <c r="E685" t="inlineStr"/>
      <c r="F685" t="inlineStr"/>
      <c r="G685" t="inlineStr">
        <is>
          <t>N</t>
        </is>
      </c>
      <c r="H685" t="inlineStr"/>
      <c r="I685" t="inlineStr">
        <is>
          <t>none</t>
        </is>
      </c>
      <c r="J685" t="inlineStr">
        <is>
          <t>candidate</t>
        </is>
      </c>
      <c r="K685" t="inlineStr">
        <is>
          <t>High</t>
        </is>
      </c>
      <c r="L685" t="inlineStr">
        <is>
          <t>dsuk/2026/experiment-626-day-2026-mystery/leroy</t>
        </is>
      </c>
    </row>
    <row r="686">
      <c r="A686" t="inlineStr">
        <is>
          <t>PHS-0232</t>
        </is>
      </c>
      <c r="B686" t="n">
        <v>6</v>
      </c>
      <c r="C686" t="inlineStr">
        <is>
          <t>Reuben; Stitch</t>
        </is>
      </c>
      <c r="D686" t="inlineStr">
        <is>
          <t>Reuben &amp; Stitch – Experiment 626 mystery pin set (626 Day 2026)</t>
        </is>
      </c>
      <c r="E686" t="inlineStr"/>
      <c r="F686" t="inlineStr"/>
      <c r="G686" t="inlineStr">
        <is>
          <t>N</t>
        </is>
      </c>
      <c r="H686" t="inlineStr"/>
      <c r="I686" t="inlineStr">
        <is>
          <t>none</t>
        </is>
      </c>
      <c r="J686" t="inlineStr">
        <is>
          <t>candidate</t>
        </is>
      </c>
      <c r="K686" t="inlineStr">
        <is>
          <t>High</t>
        </is>
      </c>
      <c r="L686" t="inlineStr">
        <is>
          <t>dsuk/2026/experiment-626-day-2026-mystery/reuben</t>
        </is>
      </c>
    </row>
    <row r="687">
      <c r="A687" t="inlineStr">
        <is>
          <t>PHS-0232</t>
        </is>
      </c>
      <c r="B687" t="n">
        <v>7</v>
      </c>
      <c r="C687" t="inlineStr">
        <is>
          <t>Richter; Stitch</t>
        </is>
      </c>
      <c r="D687" t="inlineStr">
        <is>
          <t>Richter &amp; Stitch – Experiment 626 mystery pin set (626 Day 2026)</t>
        </is>
      </c>
      <c r="E687" t="inlineStr"/>
      <c r="F687" t="inlineStr"/>
      <c r="G687" t="inlineStr">
        <is>
          <t>N</t>
        </is>
      </c>
      <c r="H687" t="inlineStr"/>
      <c r="I687" t="inlineStr">
        <is>
          <t>none</t>
        </is>
      </c>
      <c r="J687" t="inlineStr">
        <is>
          <t>candidate</t>
        </is>
      </c>
      <c r="K687" t="inlineStr">
        <is>
          <t>High</t>
        </is>
      </c>
      <c r="L687" t="inlineStr">
        <is>
          <t>dsuk/2026/experiment-626-day-2026-mystery/richter</t>
        </is>
      </c>
    </row>
    <row r="688">
      <c r="A688" t="inlineStr">
        <is>
          <t>PHS-0232</t>
        </is>
      </c>
      <c r="B688" t="n">
        <v>8</v>
      </c>
      <c r="C688" t="inlineStr">
        <is>
          <t>Sinker; Stitch</t>
        </is>
      </c>
      <c r="D688" t="inlineStr">
        <is>
          <t>Sinker &amp; Stitch – Experiment 626 mystery pin set (626 Day 2026)</t>
        </is>
      </c>
      <c r="E688" t="inlineStr"/>
      <c r="F688" t="inlineStr"/>
      <c r="G688" t="inlineStr">
        <is>
          <t>N</t>
        </is>
      </c>
      <c r="H688" t="inlineStr"/>
      <c r="I688" t="inlineStr">
        <is>
          <t>none</t>
        </is>
      </c>
      <c r="J688" t="inlineStr">
        <is>
          <t>candidate</t>
        </is>
      </c>
      <c r="K688" t="inlineStr">
        <is>
          <t>High</t>
        </is>
      </c>
      <c r="L688" t="inlineStr">
        <is>
          <t>dsuk/2026/experiment-626-day-2026-mystery/sinker</t>
        </is>
      </c>
    </row>
    <row r="689">
      <c r="A689" t="inlineStr">
        <is>
          <t>PHS-0232</t>
        </is>
      </c>
      <c r="B689" t="n">
        <v>9</v>
      </c>
      <c r="C689" t="inlineStr">
        <is>
          <t>Splodyhead; Stitch</t>
        </is>
      </c>
      <c r="D689" t="inlineStr">
        <is>
          <t>Splodyhead &amp; Stitch – Experiment 626 mystery pin set (626 Day 2026)</t>
        </is>
      </c>
      <c r="E689" t="inlineStr"/>
      <c r="F689" t="inlineStr"/>
      <c r="G689" t="inlineStr">
        <is>
          <t>N</t>
        </is>
      </c>
      <c r="H689" t="inlineStr"/>
      <c r="I689" t="inlineStr">
        <is>
          <t>none</t>
        </is>
      </c>
      <c r="J689" t="inlineStr">
        <is>
          <t>candidate</t>
        </is>
      </c>
      <c r="K689" t="inlineStr">
        <is>
          <t>High</t>
        </is>
      </c>
      <c r="L689" t="inlineStr">
        <is>
          <t>dsuk/2026/experiment-626-day-2026-mystery/splodyhead</t>
        </is>
      </c>
    </row>
    <row r="690">
      <c r="A690" t="inlineStr">
        <is>
          <t>PHS-0232</t>
        </is>
      </c>
      <c r="B690" t="n">
        <v>10</v>
      </c>
      <c r="C690" t="inlineStr">
        <is>
          <t>Stitch; Yaarp</t>
        </is>
      </c>
      <c r="D690" t="inlineStr">
        <is>
          <t>Stitch &amp; Yaarp – Experiment 626 mystery pin set (626 Day 2026)</t>
        </is>
      </c>
      <c r="E690" t="inlineStr"/>
      <c r="F690" t="inlineStr"/>
      <c r="G690" t="inlineStr">
        <is>
          <t>N</t>
        </is>
      </c>
      <c r="H690" t="inlineStr"/>
      <c r="I690" t="inlineStr">
        <is>
          <t>none</t>
        </is>
      </c>
      <c r="J690" t="inlineStr">
        <is>
          <t>candidate</t>
        </is>
      </c>
      <c r="K690" t="inlineStr">
        <is>
          <t>High</t>
        </is>
      </c>
      <c r="L690" t="inlineStr">
        <is>
          <t>dsuk/2026/experiment-626-day-2026-mystery/yaarp</t>
        </is>
      </c>
    </row>
    <row r="691">
      <c r="A691" t="inlineStr">
        <is>
          <t>PHS-0233</t>
        </is>
      </c>
      <c r="B691" t="n">
        <v>1</v>
      </c>
      <c r="C691" t="inlineStr">
        <is>
          <t>Perdita; Pongo</t>
        </is>
      </c>
      <c r="D691" t="inlineStr">
        <is>
          <t>Perdita &amp; Pongo – Tails of Friendship Pin Trading Event (London)</t>
        </is>
      </c>
      <c r="E691" t="inlineStr"/>
      <c r="F691" t="n">
        <v>1500</v>
      </c>
      <c r="G691" t="inlineStr">
        <is>
          <t>N</t>
        </is>
      </c>
      <c r="H691" t="inlineStr"/>
      <c r="I691" t="inlineStr">
        <is>
          <t>none</t>
        </is>
      </c>
      <c r="J691" t="inlineStr">
        <is>
          <t>candidate</t>
        </is>
      </c>
      <c r="K691" t="inlineStr">
        <is>
          <t>Medium</t>
        </is>
      </c>
      <c r="L691" t="inlineStr">
        <is>
          <t>dsuk/2026/tails-of-friendship-event-london/101-dalmatians</t>
        </is>
      </c>
    </row>
    <row r="692">
      <c r="A692" t="inlineStr">
        <is>
          <t>PHS-0233</t>
        </is>
      </c>
      <c r="B692" t="n">
        <v>2</v>
      </c>
      <c r="C692" t="inlineStr">
        <is>
          <t>Lucifer</t>
        </is>
      </c>
      <c r="D692" t="inlineStr">
        <is>
          <t>Lucifer – Tails of Friendship Pin Trading Event (London)</t>
        </is>
      </c>
      <c r="E692" t="inlineStr"/>
      <c r="F692" t="n">
        <v>1750</v>
      </c>
      <c r="G692" t="inlineStr">
        <is>
          <t>N</t>
        </is>
      </c>
      <c r="H692" t="inlineStr"/>
      <c r="I692" t="inlineStr">
        <is>
          <t>none</t>
        </is>
      </c>
      <c r="J692" t="inlineStr">
        <is>
          <t>candidate</t>
        </is>
      </c>
      <c r="K692" t="inlineStr">
        <is>
          <t>Medium</t>
        </is>
      </c>
      <c r="L692" t="inlineStr">
        <is>
          <t>dsuk/2026/tails-of-friendship-event-london/lucifer</t>
        </is>
      </c>
    </row>
    <row r="693">
      <c r="A693" t="inlineStr">
        <is>
          <t>PHS-0233</t>
        </is>
      </c>
      <c r="B693" t="n">
        <v>3</v>
      </c>
      <c r="C693" t="inlineStr">
        <is>
          <t>Pascal</t>
        </is>
      </c>
      <c r="D693" t="inlineStr">
        <is>
          <t>Pascal – Tails of Friendship Pin Trading Event (London)</t>
        </is>
      </c>
      <c r="E693" t="inlineStr"/>
      <c r="F693" t="n">
        <v>1500</v>
      </c>
      <c r="G693" t="inlineStr">
        <is>
          <t>N</t>
        </is>
      </c>
      <c r="H693" t="inlineStr"/>
      <c r="I693" t="inlineStr">
        <is>
          <t>none</t>
        </is>
      </c>
      <c r="J693" t="inlineStr">
        <is>
          <t>candidate</t>
        </is>
      </c>
      <c r="K693" t="inlineStr">
        <is>
          <t>Medium</t>
        </is>
      </c>
      <c r="L693" t="inlineStr">
        <is>
          <t>dsuk/2026/tails-of-friendship-event-london/pascal</t>
        </is>
      </c>
    </row>
    <row r="694">
      <c r="A694" t="inlineStr">
        <is>
          <t>PHS-0233</t>
        </is>
      </c>
      <c r="B694" t="n">
        <v>4</v>
      </c>
      <c r="C694" t="inlineStr">
        <is>
          <t>Rhino</t>
        </is>
      </c>
      <c r="D694" t="inlineStr">
        <is>
          <t>Rhino – Tails of Friendship Pin Trading Event (London)</t>
        </is>
      </c>
      <c r="E694" t="inlineStr"/>
      <c r="F694" t="n">
        <v>1500</v>
      </c>
      <c r="G694" t="inlineStr">
        <is>
          <t>N</t>
        </is>
      </c>
      <c r="H694" t="inlineStr"/>
      <c r="I694" t="inlineStr">
        <is>
          <t>none</t>
        </is>
      </c>
      <c r="J694" t="inlineStr">
        <is>
          <t>candidate</t>
        </is>
      </c>
      <c r="K694" t="inlineStr">
        <is>
          <t>Medium</t>
        </is>
      </c>
      <c r="L694" t="inlineStr">
        <is>
          <t>dsuk/2026/tails-of-friendship-event-london/rhino</t>
        </is>
      </c>
    </row>
    <row r="695">
      <c r="A695" t="inlineStr">
        <is>
          <t>PHS-0233</t>
        </is>
      </c>
      <c r="B695" t="n">
        <v>5</v>
      </c>
      <c r="C695" t="inlineStr">
        <is>
          <t>Stitch</t>
        </is>
      </c>
      <c r="D695" t="inlineStr">
        <is>
          <t>Stitch – Tails of Friendship Pin Trading Event (London)</t>
        </is>
      </c>
      <c r="E695" t="inlineStr"/>
      <c r="F695" t="n">
        <v>1500</v>
      </c>
      <c r="G695" t="inlineStr">
        <is>
          <t>N</t>
        </is>
      </c>
      <c r="H695" t="inlineStr"/>
      <c r="I695" t="inlineStr">
        <is>
          <t>none</t>
        </is>
      </c>
      <c r="J695" t="inlineStr">
        <is>
          <t>candidate</t>
        </is>
      </c>
      <c r="K695" t="inlineStr">
        <is>
          <t>Medium</t>
        </is>
      </c>
      <c r="L695" t="inlineStr">
        <is>
          <t>dsuk/2026/tails-of-friendship-event-london/stitch</t>
        </is>
      </c>
    </row>
    <row r="696">
      <c r="A696" t="inlineStr">
        <is>
          <t>PHS-0233</t>
        </is>
      </c>
      <c r="B696" t="n">
        <v>6</v>
      </c>
      <c r="C696" t="inlineStr">
        <is>
          <t>Sven</t>
        </is>
      </c>
      <c r="D696" t="inlineStr">
        <is>
          <t>Sven – Tails of Friendship Pin Trading Event (London)</t>
        </is>
      </c>
      <c r="E696" t="inlineStr"/>
      <c r="F696" t="n">
        <v>1500</v>
      </c>
      <c r="G696" t="inlineStr">
        <is>
          <t>N</t>
        </is>
      </c>
      <c r="H696" t="inlineStr"/>
      <c r="I696" t="inlineStr">
        <is>
          <t>none</t>
        </is>
      </c>
      <c r="J696" t="inlineStr">
        <is>
          <t>candidate</t>
        </is>
      </c>
      <c r="K696" t="inlineStr">
        <is>
          <t>Medium</t>
        </is>
      </c>
      <c r="L696" t="inlineStr">
        <is>
          <t>dsuk/2026/tails-of-friendship-event-london/sven</t>
        </is>
      </c>
    </row>
    <row r="697">
      <c r="A697" t="inlineStr">
        <is>
          <t>PHS-0234</t>
        </is>
      </c>
      <c r="B697" t="n">
        <v>1</v>
      </c>
      <c r="C697" t="inlineStr">
        <is>
          <t>Hulk; Spider-Man</t>
        </is>
      </c>
      <c r="D697" t="inlineStr">
        <is>
          <t>Spider-Man and Hulk Limited Release Pin, Spider-Man: Brand New Day</t>
        </is>
      </c>
      <c r="E697" t="inlineStr"/>
      <c r="F697" t="inlineStr"/>
      <c r="G697" t="inlineStr">
        <is>
          <t>N</t>
        </is>
      </c>
      <c r="H697" t="inlineStr"/>
      <c r="I697" t="inlineStr">
        <is>
          <t>none</t>
        </is>
      </c>
      <c r="J697" t="inlineStr">
        <is>
          <t>candidate</t>
        </is>
      </c>
      <c r="K697" t="inlineStr">
        <is>
          <t>High</t>
        </is>
      </c>
      <c r="L697" t="inlineStr">
        <is>
          <t>dsuk/2026/spider-man-hulk-brand-new-day-lr-pin/spider-man-and-hulk</t>
        </is>
      </c>
    </row>
    <row r="698">
      <c r="A698" t="inlineStr">
        <is>
          <t>PHS-0235</t>
        </is>
      </c>
      <c r="B698" t="n">
        <v>1</v>
      </c>
      <c r="C698" t="inlineStr">
        <is>
          <t>Chip; Dale; Donald Duck; Goofy; Mickey Mouse; Minnie Mouse; Pluto; Tinker Bell</t>
        </is>
      </c>
      <c r="D698" t="inlineStr">
        <is>
          <t>Chip &amp; Dale &amp; Donald Duck &amp; Goofy &amp; Mickey Mouse &amp; Minnie Mouse &amp; Pluto &amp; Tinker Bell – Disney100 limited edition oversized pin</t>
        </is>
      </c>
      <c r="E698" t="inlineStr"/>
      <c r="F698" t="n">
        <v>4000</v>
      </c>
      <c r="G698" t="inlineStr">
        <is>
          <t>N</t>
        </is>
      </c>
      <c r="H698" t="inlineStr"/>
      <c r="I698" t="inlineStr">
        <is>
          <t>none</t>
        </is>
      </c>
      <c r="J698" t="inlineStr">
        <is>
          <t>candidate</t>
        </is>
      </c>
      <c r="K698" t="inlineStr">
        <is>
          <t>Low</t>
        </is>
      </c>
      <c r="L698" t="inlineStr">
        <is>
          <t>wdw/2023/disney100-oversized-le-pin/mickey-and-friends-platinum</t>
        </is>
      </c>
    </row>
    <row r="699">
      <c r="A699" t="inlineStr">
        <is>
          <t>PHS-0236</t>
        </is>
      </c>
      <c r="B699" t="n">
        <v>1</v>
      </c>
      <c r="C699" t="inlineStr">
        <is>
          <t>Figment</t>
        </is>
      </c>
      <c r="D699" t="inlineStr">
        <is>
          <t>Chalk it Up to Something Magical</t>
        </is>
      </c>
      <c r="E699" t="inlineStr"/>
      <c r="F699" t="n">
        <v>5000</v>
      </c>
      <c r="G699" t="inlineStr">
        <is>
          <t>N</t>
        </is>
      </c>
      <c r="H699" t="inlineStr"/>
      <c r="I699" t="inlineStr">
        <is>
          <t>none</t>
        </is>
      </c>
      <c r="J699" t="inlineStr">
        <is>
          <t>candidate</t>
        </is>
      </c>
      <c r="K699" t="inlineStr">
        <is>
          <t>Low</t>
        </is>
      </c>
      <c r="L699" t="inlineStr">
        <is>
          <t>wdw/2023/epcot-festival-of-the-arts-2023/chalk-it-up-passholder</t>
        </is>
      </c>
    </row>
    <row r="700">
      <c r="A700" t="inlineStr">
        <is>
          <t>PHS-0236</t>
        </is>
      </c>
      <c r="B700" t="n">
        <v>2</v>
      </c>
      <c r="C700" t="inlineStr">
        <is>
          <t>Figment</t>
        </is>
      </c>
      <c r="D700" t="inlineStr">
        <is>
          <t>Create Your Own Magic pin</t>
        </is>
      </c>
      <c r="E700" t="inlineStr"/>
      <c r="F700" t="inlineStr"/>
      <c r="G700" t="inlineStr">
        <is>
          <t>N</t>
        </is>
      </c>
      <c r="H700" t="inlineStr"/>
      <c r="I700" t="inlineStr">
        <is>
          <t>none</t>
        </is>
      </c>
      <c r="J700" t="inlineStr">
        <is>
          <t>candidate</t>
        </is>
      </c>
      <c r="K700" t="inlineStr">
        <is>
          <t>Low</t>
        </is>
      </c>
      <c r="L700" t="inlineStr">
        <is>
          <t>wdw/2023/epcot-festival-of-the-arts-2023/create-your-own-magic-figment</t>
        </is>
      </c>
    </row>
    <row r="701">
      <c r="A701" t="inlineStr">
        <is>
          <t>PHS-0236</t>
        </is>
      </c>
      <c r="B701" t="n">
        <v>3</v>
      </c>
      <c r="C701" t="inlineStr">
        <is>
          <t>Figment</t>
        </is>
      </c>
      <c r="D701" t="inlineStr">
        <is>
          <t>Figment – 2023 EPCOT International Festival of the Arts pins</t>
        </is>
      </c>
      <c r="E701" t="inlineStr"/>
      <c r="F701" t="n">
        <v>4000</v>
      </c>
      <c r="G701" t="inlineStr">
        <is>
          <t>N</t>
        </is>
      </c>
      <c r="H701" t="inlineStr"/>
      <c r="I701" t="inlineStr">
        <is>
          <t>none</t>
        </is>
      </c>
      <c r="J701" t="inlineStr">
        <is>
          <t>candidate</t>
        </is>
      </c>
      <c r="K701" t="inlineStr">
        <is>
          <t>Low</t>
        </is>
      </c>
      <c r="L701" t="inlineStr">
        <is>
          <t>wdw/2023/epcot-festival-of-the-arts-2023/figment-chalkboard</t>
        </is>
      </c>
    </row>
    <row r="702">
      <c r="A702" t="inlineStr">
        <is>
          <t>PHS-0237</t>
        </is>
      </c>
      <c r="B702" t="n">
        <v>1</v>
      </c>
      <c r="C702" t="inlineStr"/>
      <c r="D702" t="inlineStr">
        <is>
          <t>Annual Passholder pin</t>
        </is>
      </c>
      <c r="E702" t="inlineStr"/>
      <c r="F702" t="n">
        <v>4000</v>
      </c>
      <c r="G702" t="inlineStr">
        <is>
          <t>N</t>
        </is>
      </c>
      <c r="H702" t="inlineStr"/>
      <c r="I702" t="inlineStr">
        <is>
          <t>none</t>
        </is>
      </c>
      <c r="J702" t="inlineStr">
        <is>
          <t>candidate</t>
        </is>
      </c>
      <c r="K702" t="inlineStr">
        <is>
          <t>Low</t>
        </is>
      </c>
      <c r="L702" t="inlineStr">
        <is>
          <t>wdw/2023/epcot-festival-of-the-holidays-2023/annual-passholder-dangle</t>
        </is>
      </c>
    </row>
    <row r="703">
      <c r="A703" t="inlineStr">
        <is>
          <t>PHS-0237</t>
        </is>
      </c>
      <c r="B703" t="n">
        <v>2</v>
      </c>
      <c r="C703" t="inlineStr"/>
      <c r="D703" t="inlineStr">
        <is>
          <t>Logo pin</t>
        </is>
      </c>
      <c r="E703" t="inlineStr"/>
      <c r="F703" t="inlineStr"/>
      <c r="G703" t="inlineStr">
        <is>
          <t>N</t>
        </is>
      </c>
      <c r="H703" t="inlineStr"/>
      <c r="I703" t="inlineStr">
        <is>
          <t>none</t>
        </is>
      </c>
      <c r="J703" t="inlineStr">
        <is>
          <t>candidate</t>
        </is>
      </c>
      <c r="K703" t="inlineStr">
        <is>
          <t>Low</t>
        </is>
      </c>
      <c r="L703" t="inlineStr">
        <is>
          <t>wdw/2023/epcot-festival-of-the-holidays-2023/logo</t>
        </is>
      </c>
    </row>
    <row r="704">
      <c r="A704" t="inlineStr">
        <is>
          <t>PHS-0237</t>
        </is>
      </c>
      <c r="B704" t="n">
        <v>3</v>
      </c>
      <c r="C704" t="inlineStr"/>
      <c r="D704" t="inlineStr">
        <is>
          <t>Seasons Greetings pin</t>
        </is>
      </c>
      <c r="E704" t="inlineStr"/>
      <c r="F704" t="n">
        <v>4000</v>
      </c>
      <c r="G704" t="inlineStr">
        <is>
          <t>N</t>
        </is>
      </c>
      <c r="H704" t="inlineStr"/>
      <c r="I704" t="inlineStr">
        <is>
          <t>none</t>
        </is>
      </c>
      <c r="J704" t="inlineStr">
        <is>
          <t>candidate</t>
        </is>
      </c>
      <c r="K704" t="inlineStr">
        <is>
          <t>Low</t>
        </is>
      </c>
      <c r="L704" t="inlineStr">
        <is>
          <t>wdw/2023/epcot-festival-of-the-holidays-2023/seasons-greetings</t>
        </is>
      </c>
    </row>
    <row r="705">
      <c r="A705" t="inlineStr">
        <is>
          <t>PHS-0238</t>
        </is>
      </c>
      <c r="B705" t="n">
        <v>1</v>
      </c>
      <c r="C705" t="inlineStr">
        <is>
          <t>Figment</t>
        </is>
      </c>
      <c r="D705" t="inlineStr">
        <is>
          <t>Figment Cactus Pin</t>
        </is>
      </c>
      <c r="E705" t="inlineStr"/>
      <c r="F705" t="n">
        <v>5000</v>
      </c>
      <c r="G705" t="inlineStr">
        <is>
          <t>N</t>
        </is>
      </c>
      <c r="H705" t="inlineStr"/>
      <c r="I705" t="inlineStr">
        <is>
          <t>none</t>
        </is>
      </c>
      <c r="J705" t="inlineStr">
        <is>
          <t>candidate</t>
        </is>
      </c>
      <c r="K705" t="inlineStr">
        <is>
          <t>Low</t>
        </is>
      </c>
      <c r="L705" t="inlineStr">
        <is>
          <t>wdw/2023/epcot-flower-garden-2023/figment-cactus</t>
        </is>
      </c>
    </row>
    <row r="706">
      <c r="A706" t="inlineStr">
        <is>
          <t>PHS-0238</t>
        </is>
      </c>
      <c r="B706" t="n">
        <v>2</v>
      </c>
      <c r="C706" t="inlineStr">
        <is>
          <t>Figment</t>
        </is>
      </c>
      <c r="D706" t="inlineStr">
        <is>
          <t>Figment – Epcot International Flower &amp; Garden Festival 2023 pins</t>
        </is>
      </c>
      <c r="E706" t="inlineStr"/>
      <c r="F706" t="inlineStr"/>
      <c r="G706" t="inlineStr">
        <is>
          <t>N</t>
        </is>
      </c>
      <c r="H706" t="inlineStr"/>
      <c r="I706" t="inlineStr">
        <is>
          <t>none</t>
        </is>
      </c>
      <c r="J706" t="inlineStr">
        <is>
          <t>candidate</t>
        </is>
      </c>
      <c r="K706" t="inlineStr">
        <is>
          <t>Medium</t>
        </is>
      </c>
      <c r="L706" t="inlineStr">
        <is>
          <t>wdw/2023/epcot-flower-garden-2023/figment-imagination-grow</t>
        </is>
      </c>
    </row>
    <row r="707">
      <c r="A707" t="inlineStr">
        <is>
          <t>PHS-0238</t>
        </is>
      </c>
      <c r="B707" t="n">
        <v>3</v>
      </c>
      <c r="C707" t="inlineStr">
        <is>
          <t>Figment</t>
        </is>
      </c>
      <c r="D707" t="inlineStr">
        <is>
          <t>Figment – Epcot International Flower &amp; Garden Festival 2023 pins</t>
        </is>
      </c>
      <c r="E707" t="inlineStr"/>
      <c r="F707" t="inlineStr"/>
      <c r="G707" t="inlineStr">
        <is>
          <t>N</t>
        </is>
      </c>
      <c r="H707" t="inlineStr"/>
      <c r="I707" t="inlineStr">
        <is>
          <t>none</t>
        </is>
      </c>
      <c r="J707" t="inlineStr">
        <is>
          <t>candidate</t>
        </is>
      </c>
      <c r="K707" t="inlineStr">
        <is>
          <t>Medium</t>
        </is>
      </c>
      <c r="L707" t="inlineStr">
        <is>
          <t>wdw/2023/epcot-flower-garden-2023/figment-passholder</t>
        </is>
      </c>
    </row>
    <row r="708">
      <c r="A708" t="inlineStr">
        <is>
          <t>PHS-0238</t>
        </is>
      </c>
      <c r="B708" t="n">
        <v>4</v>
      </c>
      <c r="C708" t="inlineStr">
        <is>
          <t>Orange Bird</t>
        </is>
      </c>
      <c r="D708" t="inlineStr">
        <is>
          <t>Flower Power Orange Bird Pin</t>
        </is>
      </c>
      <c r="E708" t="inlineStr"/>
      <c r="F708" t="inlineStr"/>
      <c r="G708" t="inlineStr">
        <is>
          <t>N</t>
        </is>
      </c>
      <c r="H708" t="inlineStr"/>
      <c r="I708" t="inlineStr">
        <is>
          <t>none</t>
        </is>
      </c>
      <c r="J708" t="inlineStr">
        <is>
          <t>candidate</t>
        </is>
      </c>
      <c r="K708" t="inlineStr">
        <is>
          <t>Low</t>
        </is>
      </c>
      <c r="L708" t="inlineStr">
        <is>
          <t>wdw/2023/epcot-flower-garden-2023/flower-power-orange-bird</t>
        </is>
      </c>
    </row>
    <row r="709">
      <c r="A709" t="inlineStr">
        <is>
          <t>PHS-0238</t>
        </is>
      </c>
      <c r="B709" t="n">
        <v>5</v>
      </c>
      <c r="C709" t="inlineStr">
        <is>
          <t>Orange Bird</t>
        </is>
      </c>
      <c r="D709" t="inlineStr">
        <is>
          <t>Orange Bird Floral Pin</t>
        </is>
      </c>
      <c r="E709" t="inlineStr"/>
      <c r="F709" t="inlineStr"/>
      <c r="G709" t="inlineStr">
        <is>
          <t>N</t>
        </is>
      </c>
      <c r="H709" t="inlineStr"/>
      <c r="I709" t="inlineStr">
        <is>
          <t>none</t>
        </is>
      </c>
      <c r="J709" t="inlineStr">
        <is>
          <t>candidate</t>
        </is>
      </c>
      <c r="K709" t="inlineStr">
        <is>
          <t>Low</t>
        </is>
      </c>
      <c r="L709" t="inlineStr">
        <is>
          <t>wdw/2023/epcot-flower-garden-2023/orange-bird-floral</t>
        </is>
      </c>
    </row>
    <row r="710">
      <c r="A710" t="inlineStr">
        <is>
          <t>PHS-0238</t>
        </is>
      </c>
      <c r="B710" t="n">
        <v>6</v>
      </c>
      <c r="C710" t="inlineStr">
        <is>
          <t>Snow White</t>
        </is>
      </c>
      <c r="D710" t="inlineStr">
        <is>
          <t>Snow White pin</t>
        </is>
      </c>
      <c r="E710" t="inlineStr"/>
      <c r="F710" t="n">
        <v>4000</v>
      </c>
      <c r="G710" t="inlineStr">
        <is>
          <t>N</t>
        </is>
      </c>
      <c r="H710" t="inlineStr"/>
      <c r="I710" t="inlineStr">
        <is>
          <t>none</t>
        </is>
      </c>
      <c r="J710" t="inlineStr">
        <is>
          <t>candidate</t>
        </is>
      </c>
      <c r="K710" t="inlineStr">
        <is>
          <t>Medium</t>
        </is>
      </c>
      <c r="L710" t="inlineStr">
        <is>
          <t>wdw/2023/epcot-flower-garden-2023/snow-white</t>
        </is>
      </c>
    </row>
    <row r="711">
      <c r="A711" t="inlineStr">
        <is>
          <t>PHS-0238</t>
        </is>
      </c>
      <c r="B711" t="n">
        <v>7</v>
      </c>
      <c r="C711" t="inlineStr">
        <is>
          <t>Orange Bird</t>
        </is>
      </c>
      <c r="D711" t="inlineStr">
        <is>
          <t>Spreadin' Sunshine Orange Bird Pin</t>
        </is>
      </c>
      <c r="E711" t="inlineStr"/>
      <c r="F711" t="n">
        <v>4000</v>
      </c>
      <c r="G711" t="inlineStr">
        <is>
          <t>N</t>
        </is>
      </c>
      <c r="H711" t="inlineStr"/>
      <c r="I711" t="inlineStr">
        <is>
          <t>none</t>
        </is>
      </c>
      <c r="J711" t="inlineStr">
        <is>
          <t>candidate</t>
        </is>
      </c>
      <c r="K711" t="inlineStr">
        <is>
          <t>Low</t>
        </is>
      </c>
      <c r="L711" t="inlineStr">
        <is>
          <t>wdw/2023/epcot-flower-garden-2023/spreadin-sunshine-orange-bird</t>
        </is>
      </c>
    </row>
    <row r="712">
      <c r="A712" t="inlineStr">
        <is>
          <t>PHS-0239</t>
        </is>
      </c>
      <c r="B712" t="n">
        <v>1</v>
      </c>
      <c r="C712" t="inlineStr">
        <is>
          <t>Figment</t>
        </is>
      </c>
      <c r="D712" t="inlineStr">
        <is>
          <t>Figment – Flower &amp; Garden 2023 Passholder Pin Set</t>
        </is>
      </c>
      <c r="E712" t="inlineStr"/>
      <c r="F712" t="inlineStr"/>
      <c r="G712" t="inlineStr">
        <is>
          <t>N</t>
        </is>
      </c>
      <c r="H712" t="inlineStr"/>
      <c r="I712" t="inlineStr">
        <is>
          <t>none</t>
        </is>
      </c>
      <c r="J712" t="inlineStr">
        <is>
          <t>candidate</t>
        </is>
      </c>
      <c r="K712" t="inlineStr">
        <is>
          <t>Medium</t>
        </is>
      </c>
      <c r="L712" t="inlineStr">
        <is>
          <t>wdw/2023/epcot-flower-garden-2023-passholder-pin-set/figment</t>
        </is>
      </c>
    </row>
    <row r="713">
      <c r="A713" t="inlineStr">
        <is>
          <t>PHS-0239</t>
        </is>
      </c>
      <c r="B713" t="n">
        <v>2</v>
      </c>
      <c r="C713" t="inlineStr">
        <is>
          <t>Orange Bird</t>
        </is>
      </c>
      <c r="D713" t="inlineStr">
        <is>
          <t>Orange Bird – Flower &amp; Garden 2023 Passholder Pin Set</t>
        </is>
      </c>
      <c r="E713" t="inlineStr"/>
      <c r="F713" t="inlineStr"/>
      <c r="G713" t="inlineStr">
        <is>
          <t>N</t>
        </is>
      </c>
      <c r="H713" t="inlineStr"/>
      <c r="I713" t="inlineStr">
        <is>
          <t>none</t>
        </is>
      </c>
      <c r="J713" t="inlineStr">
        <is>
          <t>candidate</t>
        </is>
      </c>
      <c r="K713" t="inlineStr">
        <is>
          <t>Medium</t>
        </is>
      </c>
      <c r="L713" t="inlineStr">
        <is>
          <t>wdw/2023/epcot-flower-garden-2023-passholder-pin-set/orange-bird</t>
        </is>
      </c>
    </row>
    <row r="714">
      <c r="A714" t="inlineStr">
        <is>
          <t>PHS-0239</t>
        </is>
      </c>
      <c r="B714" t="n">
        <v>3</v>
      </c>
      <c r="C714" t="inlineStr">
        <is>
          <t>Snow White</t>
        </is>
      </c>
      <c r="D714" t="inlineStr">
        <is>
          <t>Snow White – Flower &amp; Garden 2023 Passholder Pin Set</t>
        </is>
      </c>
      <c r="E714" t="inlineStr"/>
      <c r="F714" t="inlineStr"/>
      <c r="G714" t="inlineStr">
        <is>
          <t>N</t>
        </is>
      </c>
      <c r="H714" t="inlineStr"/>
      <c r="I714" t="inlineStr">
        <is>
          <t>none</t>
        </is>
      </c>
      <c r="J714" t="inlineStr">
        <is>
          <t>candidate</t>
        </is>
      </c>
      <c r="K714" t="inlineStr">
        <is>
          <t>Medium</t>
        </is>
      </c>
      <c r="L714" t="inlineStr">
        <is>
          <t>wdw/2023/epcot-flower-garden-2023-passholder-pin-set/snow-white</t>
        </is>
      </c>
    </row>
    <row r="715">
      <c r="A715" t="inlineStr">
        <is>
          <t>PHS-0240</t>
        </is>
      </c>
      <c r="B715" t="n">
        <v>1</v>
      </c>
      <c r="C715" t="inlineStr"/>
      <c r="D715" t="inlineStr">
        <is>
          <t>Happy Holidays</t>
        </is>
      </c>
      <c r="E715" t="inlineStr"/>
      <c r="F715" t="inlineStr"/>
      <c r="G715" t="inlineStr">
        <is>
          <t>N</t>
        </is>
      </c>
      <c r="H715" t="inlineStr"/>
      <c r="I715" t="inlineStr">
        <is>
          <t>none</t>
        </is>
      </c>
      <c r="J715" t="inlineStr">
        <is>
          <t>candidate</t>
        </is>
      </c>
      <c r="K715" t="inlineStr">
        <is>
          <t>Low</t>
        </is>
      </c>
      <c r="L715" t="inlineStr">
        <is>
          <t>wdw/2023/happy-holidays-le-pin/happy-holidays</t>
        </is>
      </c>
    </row>
    <row r="716">
      <c r="A716" t="inlineStr">
        <is>
          <t>PHS-0241</t>
        </is>
      </c>
      <c r="B716" t="n">
        <v>1</v>
      </c>
      <c r="C716" t="inlineStr">
        <is>
          <t>Mickey Mouse; Minnie Mouse</t>
        </is>
      </c>
      <c r="D716" t="inlineStr">
        <is>
          <t>Mickey Mouse &amp; Minnie Mouse – Passholder-Exclusive Holiday Pin Set 2023</t>
        </is>
      </c>
      <c r="E716" t="inlineStr"/>
      <c r="F716" t="inlineStr"/>
      <c r="G716" t="inlineStr">
        <is>
          <t>N</t>
        </is>
      </c>
      <c r="H716" t="inlineStr"/>
      <c r="I716" t="inlineStr">
        <is>
          <t>none</t>
        </is>
      </c>
      <c r="J716" t="inlineStr">
        <is>
          <t>candidate</t>
        </is>
      </c>
      <c r="K716" t="inlineStr">
        <is>
          <t>Low</t>
        </is>
      </c>
      <c r="L716" t="inlineStr">
        <is>
          <t>wdw/2023/passholder-holiday-pin-set/mickey-minnie-snowglobe</t>
        </is>
      </c>
    </row>
    <row r="717">
      <c r="A717" t="inlineStr">
        <is>
          <t>PHS-0241</t>
        </is>
      </c>
      <c r="B717" t="n">
        <v>2</v>
      </c>
      <c r="C717" t="inlineStr">
        <is>
          <t>Pluto</t>
        </is>
      </c>
      <c r="D717" t="inlineStr">
        <is>
          <t>Pluto – Passholder-Exclusive Holiday Pin Set 2023</t>
        </is>
      </c>
      <c r="E717" t="inlineStr"/>
      <c r="F717" t="inlineStr"/>
      <c r="G717" t="inlineStr">
        <is>
          <t>N</t>
        </is>
      </c>
      <c r="H717" t="inlineStr"/>
      <c r="I717" t="inlineStr">
        <is>
          <t>none</t>
        </is>
      </c>
      <c r="J717" t="inlineStr">
        <is>
          <t>candidate</t>
        </is>
      </c>
      <c r="K717" t="inlineStr">
        <is>
          <t>Low</t>
        </is>
      </c>
      <c r="L717" t="inlineStr">
        <is>
          <t>wdw/2023/passholder-holiday-pin-set/pluto-fireplace</t>
        </is>
      </c>
    </row>
    <row r="718">
      <c r="A718" t="inlineStr">
        <is>
          <t>PHS-0242</t>
        </is>
      </c>
      <c r="B718" t="n">
        <v>1</v>
      </c>
      <c r="C718" t="inlineStr">
        <is>
          <t>Donald Duck</t>
        </is>
      </c>
      <c r="D718" t="inlineStr">
        <is>
          <t>Donald Duck – Mickey's PhilharMagic 20th Anniversary pin</t>
        </is>
      </c>
      <c r="E718" t="inlineStr"/>
      <c r="F718" t="n">
        <v>2500</v>
      </c>
      <c r="G718" t="inlineStr">
        <is>
          <t>N</t>
        </is>
      </c>
      <c r="H718" t="inlineStr"/>
      <c r="I718" t="inlineStr">
        <is>
          <t>none</t>
        </is>
      </c>
      <c r="J718" t="inlineStr">
        <is>
          <t>candidate</t>
        </is>
      </c>
      <c r="K718" t="inlineStr">
        <is>
          <t>Low</t>
        </is>
      </c>
      <c r="L718" t="inlineStr">
        <is>
          <t>wdw/2023/philharmagic-20th-anniversary/donald-sorcerer-hat</t>
        </is>
      </c>
    </row>
    <row r="719">
      <c r="A719" t="inlineStr">
        <is>
          <t>PHS-0243</t>
        </is>
      </c>
      <c r="B719" t="n">
        <v>1</v>
      </c>
      <c r="C719" t="inlineStr">
        <is>
          <t>Chip</t>
        </is>
      </c>
      <c r="D719" t="inlineStr">
        <is>
          <t>Chip – Food &amp; Wine 2024 Mystery Pin Set</t>
        </is>
      </c>
      <c r="E719" t="inlineStr"/>
      <c r="F719" t="inlineStr"/>
      <c r="G719" t="inlineStr">
        <is>
          <t>possible</t>
        </is>
      </c>
      <c r="H719" t="inlineStr">
        <is>
          <t>PHUK-00000226</t>
        </is>
      </c>
      <c r="I719" t="inlineStr">
        <is>
          <t>none</t>
        </is>
      </c>
      <c r="J719" t="inlineStr">
        <is>
          <t>candidate</t>
        </is>
      </c>
      <c r="K719" t="inlineStr">
        <is>
          <t>Low</t>
        </is>
      </c>
      <c r="L719" t="inlineStr">
        <is>
          <t>wdw/2024/epcot-food-wine-2024-mystery-pin-set/chip</t>
        </is>
      </c>
    </row>
    <row r="720">
      <c r="A720" t="inlineStr">
        <is>
          <t>PHS-0244</t>
        </is>
      </c>
      <c r="B720" t="n">
        <v>1</v>
      </c>
      <c r="C720" t="inlineStr">
        <is>
          <t>Daisy Duck; Donald Duck</t>
        </is>
      </c>
      <c r="D720" t="inlineStr">
        <is>
          <t>Donald &amp; Daisy - MVMCP 2024 Pin</t>
        </is>
      </c>
      <c r="E720" t="inlineStr"/>
      <c r="F720" t="n">
        <v>4000</v>
      </c>
      <c r="G720" t="inlineStr">
        <is>
          <t>possible</t>
        </is>
      </c>
      <c r="H720" t="inlineStr"/>
      <c r="I720" t="inlineStr">
        <is>
          <t>none</t>
        </is>
      </c>
      <c r="J720" t="inlineStr">
        <is>
          <t>candidate</t>
        </is>
      </c>
      <c r="K720" t="inlineStr">
        <is>
          <t>Medium</t>
        </is>
      </c>
      <c r="L720" t="inlineStr">
        <is>
          <t>wdw/2024/mvmcp-2024/donald-and-daisy</t>
        </is>
      </c>
    </row>
    <row r="721">
      <c r="A721" t="inlineStr">
        <is>
          <t>PHS-0244</t>
        </is>
      </c>
      <c r="B721" t="n">
        <v>2</v>
      </c>
      <c r="C721" t="inlineStr">
        <is>
          <t>Goofy; Pluto</t>
        </is>
      </c>
      <c r="D721" t="inlineStr">
        <is>
          <t>Goofy &amp; Pluto - MVMCP 2024 Pin</t>
        </is>
      </c>
      <c r="E721" t="inlineStr"/>
      <c r="F721" t="n">
        <v>4000</v>
      </c>
      <c r="G721" t="inlineStr">
        <is>
          <t>possible</t>
        </is>
      </c>
      <c r="H721" t="inlineStr"/>
      <c r="I721" t="inlineStr">
        <is>
          <t>none</t>
        </is>
      </c>
      <c r="J721" t="inlineStr">
        <is>
          <t>candidate</t>
        </is>
      </c>
      <c r="K721" t="inlineStr">
        <is>
          <t>Medium</t>
        </is>
      </c>
      <c r="L721" t="inlineStr">
        <is>
          <t>wdw/2024/mvmcp-2024/goofy-and-pluto</t>
        </is>
      </c>
    </row>
    <row r="722">
      <c r="A722" t="inlineStr">
        <is>
          <t>PHS-0244</t>
        </is>
      </c>
      <c r="B722" t="n">
        <v>3</v>
      </c>
      <c r="C722" t="inlineStr">
        <is>
          <t>Mickey Mouse; Minnie Mouse</t>
        </is>
      </c>
      <c r="D722" t="inlineStr">
        <is>
          <t>Mickey &amp; Minnie - MVMCP 2024 Pin</t>
        </is>
      </c>
      <c r="E722" t="inlineStr"/>
      <c r="F722" t="n">
        <v>4000</v>
      </c>
      <c r="G722" t="inlineStr">
        <is>
          <t>possible</t>
        </is>
      </c>
      <c r="H722" t="inlineStr"/>
      <c r="I722" t="inlineStr">
        <is>
          <t>none</t>
        </is>
      </c>
      <c r="J722" t="inlineStr">
        <is>
          <t>candidate</t>
        </is>
      </c>
      <c r="K722" t="inlineStr">
        <is>
          <t>Medium</t>
        </is>
      </c>
      <c r="L722" t="inlineStr">
        <is>
          <t>wdw/2024/mvmcp-2024/mickey-and-minnie</t>
        </is>
      </c>
    </row>
    <row r="723">
      <c r="A723" t="inlineStr">
        <is>
          <t>PHS-0244</t>
        </is>
      </c>
      <c r="B723" t="n">
        <v>4</v>
      </c>
      <c r="C723" t="inlineStr">
        <is>
          <t>Toy Soldiers</t>
        </is>
      </c>
      <c r="D723" t="inlineStr">
        <is>
          <t>Mickey's Very Merry Christmas Party 2024 Passholder Pin</t>
        </is>
      </c>
      <c r="E723" t="inlineStr"/>
      <c r="F723" t="inlineStr"/>
      <c r="G723" t="inlineStr">
        <is>
          <t>possible</t>
        </is>
      </c>
      <c r="H723" t="inlineStr"/>
      <c r="I723" t="inlineStr">
        <is>
          <t>none</t>
        </is>
      </c>
      <c r="J723" t="inlineStr">
        <is>
          <t>candidate</t>
        </is>
      </c>
      <c r="K723" t="inlineStr">
        <is>
          <t>Medium</t>
        </is>
      </c>
      <c r="L723" t="inlineStr">
        <is>
          <t>wdw/2024/mvmcp-2024/passholder</t>
        </is>
      </c>
    </row>
    <row r="724">
      <c r="A724" t="inlineStr">
        <is>
          <t>PHS-0245</t>
        </is>
      </c>
      <c r="B724" t="n">
        <v>1</v>
      </c>
      <c r="C724" t="inlineStr">
        <is>
          <t>Tiana</t>
        </is>
      </c>
      <c r="D724" t="inlineStr">
        <is>
          <t>Tiana's Bayou Adventure Opening Day Pin</t>
        </is>
      </c>
      <c r="E724" t="inlineStr"/>
      <c r="F724" t="n">
        <v>5000</v>
      </c>
      <c r="G724" t="inlineStr">
        <is>
          <t>N</t>
        </is>
      </c>
      <c r="H724" t="inlineStr"/>
      <c r="I724" t="inlineStr">
        <is>
          <t>none</t>
        </is>
      </c>
      <c r="J724" t="inlineStr">
        <is>
          <t>candidate</t>
        </is>
      </c>
      <c r="K724" t="inlineStr">
        <is>
          <t>Medium</t>
        </is>
      </c>
      <c r="L724" t="inlineStr">
        <is>
          <t>wdw/2024/tianas-bayou-adventure-grand-opening/opening-day</t>
        </is>
      </c>
    </row>
    <row r="725">
      <c r="A725" t="inlineStr">
        <is>
          <t>PHS-0245</t>
        </is>
      </c>
      <c r="B725" t="n">
        <v>2</v>
      </c>
      <c r="C725" t="inlineStr">
        <is>
          <t>Louis; Tiana</t>
        </is>
      </c>
      <c r="D725" t="inlineStr">
        <is>
          <t>Opening Day Passholder Pin</t>
        </is>
      </c>
      <c r="E725" t="inlineStr"/>
      <c r="F725" t="n">
        <v>5000</v>
      </c>
      <c r="G725" t="inlineStr">
        <is>
          <t>N</t>
        </is>
      </c>
      <c r="H725" t="inlineStr"/>
      <c r="I725" t="inlineStr">
        <is>
          <t>none</t>
        </is>
      </c>
      <c r="J725" t="inlineStr">
        <is>
          <t>candidate</t>
        </is>
      </c>
      <c r="K725" t="inlineStr">
        <is>
          <t>Medium</t>
        </is>
      </c>
      <c r="L725" t="inlineStr">
        <is>
          <t>wdw/2024/tianas-bayou-adventure-grand-opening/opening-day-passholder</t>
        </is>
      </c>
    </row>
    <row r="726">
      <c r="A726" t="inlineStr">
        <is>
          <t>PHS-0246</t>
        </is>
      </c>
      <c r="B726" t="n">
        <v>1</v>
      </c>
      <c r="C726" t="inlineStr"/>
      <c r="D726" t="inlineStr">
        <is>
          <t>The Disney Afternoon Pin Collage</t>
        </is>
      </c>
      <c r="E726" t="inlineStr"/>
      <c r="F726" t="n">
        <v>1500</v>
      </c>
      <c r="G726" t="inlineStr">
        <is>
          <t>N</t>
        </is>
      </c>
      <c r="H726" t="inlineStr"/>
      <c r="I726" t="inlineStr">
        <is>
          <t>none</t>
        </is>
      </c>
      <c r="J726" t="inlineStr">
        <is>
          <t>candidate</t>
        </is>
      </c>
      <c r="K726" t="inlineStr">
        <is>
          <t>Low</t>
        </is>
      </c>
      <c r="L726" t="inlineStr">
        <is>
          <t>wdw/2023/the-disney-afternoon-le/disney-afternoon-collage</t>
        </is>
      </c>
    </row>
    <row r="727">
      <c r="A727" t="inlineStr">
        <is>
          <t>PHS-0247</t>
        </is>
      </c>
      <c r="B727" t="n">
        <v>1</v>
      </c>
      <c r="C727" t="inlineStr"/>
      <c r="D727" t="inlineStr">
        <is>
          <t>Annual Passholder pin</t>
        </is>
      </c>
      <c r="E727" t="inlineStr"/>
      <c r="F727" t="inlineStr"/>
      <c r="G727" t="inlineStr">
        <is>
          <t>N</t>
        </is>
      </c>
      <c r="H727" t="inlineStr"/>
      <c r="I727" t="inlineStr">
        <is>
          <t>none</t>
        </is>
      </c>
      <c r="J727" t="inlineStr">
        <is>
          <t>candidate</t>
        </is>
      </c>
      <c r="K727" t="inlineStr">
        <is>
          <t>Low</t>
        </is>
      </c>
      <c r="L727" t="inlineStr">
        <is>
          <t>wdw/2023/tron-lightcycle-run-grand-opening/annual-passholder-pin</t>
        </is>
      </c>
    </row>
    <row r="728">
      <c r="A728" t="inlineStr">
        <is>
          <t>PHS-0247</t>
        </is>
      </c>
      <c r="B728" t="n">
        <v>2</v>
      </c>
      <c r="C728" t="inlineStr"/>
      <c r="D728" t="inlineStr">
        <is>
          <t>Mini Jumbo Boxed Pin</t>
        </is>
      </c>
      <c r="E728" t="inlineStr"/>
      <c r="F728" t="n">
        <v>1000</v>
      </c>
      <c r="G728" t="inlineStr">
        <is>
          <t>N</t>
        </is>
      </c>
      <c r="H728" t="inlineStr"/>
      <c r="I728" t="inlineStr">
        <is>
          <t>none</t>
        </is>
      </c>
      <c r="J728" t="inlineStr">
        <is>
          <t>candidate</t>
        </is>
      </c>
      <c r="K728" t="inlineStr">
        <is>
          <t>Low</t>
        </is>
      </c>
      <c r="L728" t="inlineStr">
        <is>
          <t>wdw/2023/tron-lightcycle-run-grand-opening/mini-jumbo-boxed-pin</t>
        </is>
      </c>
    </row>
    <row r="729">
      <c r="A729" t="inlineStr">
        <is>
          <t>PHS-0247</t>
        </is>
      </c>
      <c r="B729" t="n">
        <v>3</v>
      </c>
      <c r="C729" t="inlineStr"/>
      <c r="D729" t="inlineStr">
        <is>
          <t>Opening Day Giant Pin</t>
        </is>
      </c>
      <c r="E729" t="inlineStr"/>
      <c r="F729" t="n">
        <v>1000</v>
      </c>
      <c r="G729" t="inlineStr">
        <is>
          <t>N</t>
        </is>
      </c>
      <c r="H729" t="inlineStr"/>
      <c r="I729" t="inlineStr">
        <is>
          <t>none</t>
        </is>
      </c>
      <c r="J729" t="inlineStr">
        <is>
          <t>candidate</t>
        </is>
      </c>
      <c r="K729" t="inlineStr">
        <is>
          <t>Low</t>
        </is>
      </c>
      <c r="L729" t="inlineStr">
        <is>
          <t>wdw/2023/tron-lightcycle-run-grand-opening/opening-day-giant-pin</t>
        </is>
      </c>
    </row>
    <row r="730">
      <c r="A730" t="inlineStr">
        <is>
          <t>PHS-0248</t>
        </is>
      </c>
      <c r="B730" t="n">
        <v>1</v>
      </c>
      <c r="C730" t="inlineStr"/>
      <c r="D730" t="inlineStr">
        <is>
          <t>Encanto pin</t>
        </is>
      </c>
      <c r="E730" t="inlineStr"/>
      <c r="F730" t="inlineStr"/>
      <c r="G730" t="inlineStr">
        <is>
          <t>N</t>
        </is>
      </c>
      <c r="H730" t="inlineStr"/>
      <c r="I730" t="inlineStr">
        <is>
          <t>none</t>
        </is>
      </c>
      <c r="J730" t="inlineStr">
        <is>
          <t>candidate</t>
        </is>
      </c>
      <c r="K730" t="inlineStr">
        <is>
          <t>Low</t>
        </is>
      </c>
      <c r="L730" t="inlineStr">
        <is>
          <t>wdw/2023/epcot-food-wine-2023/encanto</t>
        </is>
      </c>
    </row>
    <row r="731">
      <c r="A731" t="inlineStr">
        <is>
          <t>PHS-0248</t>
        </is>
      </c>
      <c r="B731" t="n">
        <v>2</v>
      </c>
      <c r="C731" t="inlineStr">
        <is>
          <t>Figment</t>
        </is>
      </c>
      <c r="D731" t="inlineStr">
        <is>
          <t>Figment Passholder pin</t>
        </is>
      </c>
      <c r="E731" t="inlineStr"/>
      <c r="F731" t="inlineStr"/>
      <c r="G731" t="inlineStr">
        <is>
          <t>N</t>
        </is>
      </c>
      <c r="H731" t="inlineStr"/>
      <c r="I731" t="inlineStr">
        <is>
          <t>none</t>
        </is>
      </c>
      <c r="J731" t="inlineStr">
        <is>
          <t>candidate</t>
        </is>
      </c>
      <c r="K731" t="inlineStr">
        <is>
          <t>Medium</t>
        </is>
      </c>
      <c r="L731" t="inlineStr">
        <is>
          <t>wdw/2023/epcot-food-wine-2023/figment-passholder</t>
        </is>
      </c>
    </row>
    <row r="732">
      <c r="A732" t="inlineStr">
        <is>
          <t>PHS-0248</t>
        </is>
      </c>
      <c r="B732" t="n">
        <v>3</v>
      </c>
      <c r="C732" t="inlineStr"/>
      <c r="D732" t="inlineStr">
        <is>
          <t>Logo pin</t>
        </is>
      </c>
      <c r="E732" t="inlineStr"/>
      <c r="F732" t="inlineStr"/>
      <c r="G732" t="inlineStr">
        <is>
          <t>N</t>
        </is>
      </c>
      <c r="H732" t="inlineStr"/>
      <c r="I732" t="inlineStr">
        <is>
          <t>none</t>
        </is>
      </c>
      <c r="J732" t="inlineStr">
        <is>
          <t>candidate</t>
        </is>
      </c>
      <c r="K732" t="inlineStr">
        <is>
          <t>Low</t>
        </is>
      </c>
      <c r="L732" t="inlineStr">
        <is>
          <t>wdw/2023/epcot-food-wine-2023/logo</t>
        </is>
      </c>
    </row>
    <row r="733">
      <c r="A733" t="inlineStr">
        <is>
          <t>PHS-0248</t>
        </is>
      </c>
      <c r="B733" t="n">
        <v>4</v>
      </c>
      <c r="C733" t="inlineStr">
        <is>
          <t>Antonio; Bruno; Isabela; Luisa; Mirabel</t>
        </is>
      </c>
      <c r="D733" t="inlineStr">
        <is>
          <t>Madrigal Family pin</t>
        </is>
      </c>
      <c r="E733" t="inlineStr"/>
      <c r="F733" t="inlineStr"/>
      <c r="G733" t="inlineStr">
        <is>
          <t>N</t>
        </is>
      </c>
      <c r="H733" t="inlineStr"/>
      <c r="I733" t="inlineStr">
        <is>
          <t>none</t>
        </is>
      </c>
      <c r="J733" t="inlineStr">
        <is>
          <t>candidate</t>
        </is>
      </c>
      <c r="K733" t="inlineStr">
        <is>
          <t>Medium</t>
        </is>
      </c>
      <c r="L733" t="inlineStr">
        <is>
          <t>wdw/2023/epcot-food-wine-2023/madrigal-family</t>
        </is>
      </c>
    </row>
    <row r="734">
      <c r="A734" t="inlineStr">
        <is>
          <t>PHS-0248</t>
        </is>
      </c>
      <c r="B734" t="n">
        <v>5</v>
      </c>
      <c r="C734" t="inlineStr">
        <is>
          <t>Mirabel Madrigal</t>
        </is>
      </c>
      <c r="D734" t="inlineStr">
        <is>
          <t>Mirabel</t>
        </is>
      </c>
      <c r="E734" t="inlineStr"/>
      <c r="F734" t="n">
        <v>4000</v>
      </c>
      <c r="G734" t="inlineStr">
        <is>
          <t>N</t>
        </is>
      </c>
      <c r="H734" t="inlineStr"/>
      <c r="I734" t="inlineStr">
        <is>
          <t>none</t>
        </is>
      </c>
      <c r="J734" t="inlineStr">
        <is>
          <t>candidate</t>
        </is>
      </c>
      <c r="K734" t="inlineStr">
        <is>
          <t>Low</t>
        </is>
      </c>
      <c r="L734" t="inlineStr">
        <is>
          <t>wdw/2023/epcot-food-wine-2023/mirabel</t>
        </is>
      </c>
    </row>
    <row r="735">
      <c r="A735" t="inlineStr">
        <is>
          <t>PHS-0248</t>
        </is>
      </c>
      <c r="B735" t="n">
        <v>6</v>
      </c>
      <c r="C735" t="inlineStr"/>
      <c r="D735" t="inlineStr">
        <is>
          <t>Wine Your Way Around the World Pin</t>
        </is>
      </c>
      <c r="E735" t="inlineStr"/>
      <c r="F735" t="n">
        <v>4000</v>
      </c>
      <c r="G735" t="inlineStr">
        <is>
          <t>N</t>
        </is>
      </c>
      <c r="H735" t="inlineStr"/>
      <c r="I735" t="inlineStr">
        <is>
          <t>none</t>
        </is>
      </c>
      <c r="J735" t="inlineStr">
        <is>
          <t>candidate</t>
        </is>
      </c>
      <c r="K735" t="inlineStr">
        <is>
          <t>Medium</t>
        </is>
      </c>
      <c r="L735" t="inlineStr">
        <is>
          <t>wdw/2023/epcot-food-wine-2023/wine-your-way-around-the-world</t>
        </is>
      </c>
    </row>
    <row r="736">
      <c r="A736" t="inlineStr">
        <is>
          <t>PHS-0249</t>
        </is>
      </c>
      <c r="B736" t="n">
        <v>1</v>
      </c>
      <c r="C736" t="inlineStr">
        <is>
          <t>Sanderson Sisters</t>
        </is>
      </c>
      <c r="D736" t="inlineStr">
        <is>
          <t>Hocus Pocus Villain Spelltacular MNSSHP 2023 Pin</t>
        </is>
      </c>
      <c r="E736" t="inlineStr"/>
      <c r="F736" t="inlineStr"/>
      <c r="G736" t="inlineStr">
        <is>
          <t>N</t>
        </is>
      </c>
      <c r="H736" t="inlineStr"/>
      <c r="I736" t="inlineStr">
        <is>
          <t>none</t>
        </is>
      </c>
      <c r="J736" t="inlineStr">
        <is>
          <t>candidate</t>
        </is>
      </c>
      <c r="K736" t="inlineStr">
        <is>
          <t>Low</t>
        </is>
      </c>
      <c r="L736" t="inlineStr">
        <is>
          <t>wdw/2023/mnsshp-2023/hocus-pocus-villain-spelltacular</t>
        </is>
      </c>
    </row>
    <row r="737">
      <c r="A737" t="inlineStr">
        <is>
          <t>PHS-0249</t>
        </is>
      </c>
      <c r="B737" t="n">
        <v>2</v>
      </c>
      <c r="C737" t="inlineStr">
        <is>
          <t>Mickey Mouse; Minnie Mouse</t>
        </is>
      </c>
      <c r="D737" t="inlineStr">
        <is>
          <t>Logo Pin</t>
        </is>
      </c>
      <c r="E737" t="inlineStr"/>
      <c r="F737" t="inlineStr"/>
      <c r="G737" t="inlineStr">
        <is>
          <t>N</t>
        </is>
      </c>
      <c r="H737" t="inlineStr"/>
      <c r="I737" t="inlineStr">
        <is>
          <t>none</t>
        </is>
      </c>
      <c r="J737" t="inlineStr">
        <is>
          <t>candidate</t>
        </is>
      </c>
      <c r="K737" t="inlineStr">
        <is>
          <t>Medium</t>
        </is>
      </c>
      <c r="L737" t="inlineStr">
        <is>
          <t>wdw/2023/mnsshp-2023/logo</t>
        </is>
      </c>
    </row>
    <row r="738">
      <c r="A738" t="inlineStr">
        <is>
          <t>PHS-0249</t>
        </is>
      </c>
      <c r="B738" t="n">
        <v>3</v>
      </c>
      <c r="C738" t="inlineStr">
        <is>
          <t>Mickey Mouse</t>
        </is>
      </c>
      <c r="D738" t="inlineStr">
        <is>
          <t>Mickey Mouse – Mickey's Not So Scary Halloween Party 2023 pins</t>
        </is>
      </c>
      <c r="E738" t="inlineStr"/>
      <c r="F738" t="n">
        <v>4000</v>
      </c>
      <c r="G738" t="inlineStr">
        <is>
          <t>N</t>
        </is>
      </c>
      <c r="H738" t="inlineStr"/>
      <c r="I738" t="inlineStr">
        <is>
          <t>none</t>
        </is>
      </c>
      <c r="J738" t="inlineStr">
        <is>
          <t>candidate</t>
        </is>
      </c>
      <c r="K738" t="inlineStr">
        <is>
          <t>Low</t>
        </is>
      </c>
      <c r="L738" t="inlineStr">
        <is>
          <t>wdw/2023/mnsshp-2023/mickey-mouse</t>
        </is>
      </c>
    </row>
    <row r="739">
      <c r="A739" t="inlineStr">
        <is>
          <t>PHS-0249</t>
        </is>
      </c>
      <c r="B739" t="n">
        <v>4</v>
      </c>
      <c r="C739" t="inlineStr"/>
      <c r="D739" t="inlineStr">
        <is>
          <t>Passholder MNSSHP 2023 Pin</t>
        </is>
      </c>
      <c r="E739" t="inlineStr"/>
      <c r="F739" t="inlineStr"/>
      <c r="G739" t="inlineStr">
        <is>
          <t>N</t>
        </is>
      </c>
      <c r="H739" t="inlineStr"/>
      <c r="I739" t="inlineStr">
        <is>
          <t>none</t>
        </is>
      </c>
      <c r="J739" t="inlineStr">
        <is>
          <t>candidate</t>
        </is>
      </c>
      <c r="K739" t="inlineStr">
        <is>
          <t>Medium</t>
        </is>
      </c>
      <c r="L739" t="inlineStr">
        <is>
          <t>wdw/2023/mnsshp-2023/passholder</t>
        </is>
      </c>
    </row>
    <row r="740">
      <c r="A740" t="inlineStr">
        <is>
          <t>PHS-0250</t>
        </is>
      </c>
      <c r="B740" t="n">
        <v>1</v>
      </c>
      <c r="C740" t="inlineStr">
        <is>
          <t>Mickey Mouse</t>
        </is>
      </c>
      <c r="D740" t="inlineStr">
        <is>
          <t>Mickey Mouse Statue Pin</t>
        </is>
      </c>
      <c r="E740" t="inlineStr"/>
      <c r="F740" t="n">
        <v>4000</v>
      </c>
      <c r="G740" t="inlineStr">
        <is>
          <t>N</t>
        </is>
      </c>
      <c r="H740" t="inlineStr"/>
      <c r="I740" t="inlineStr">
        <is>
          <t>none</t>
        </is>
      </c>
      <c r="J740" t="inlineStr">
        <is>
          <t>candidate</t>
        </is>
      </c>
      <c r="K740" t="inlineStr">
        <is>
          <t>Low</t>
        </is>
      </c>
      <c r="L740" t="inlineStr">
        <is>
          <t>wdw/2023/disney100-grand-finale/mickey-mouse-statue</t>
        </is>
      </c>
    </row>
    <row r="741">
      <c r="A741" t="inlineStr">
        <is>
          <t>PHS-0250</t>
        </is>
      </c>
      <c r="B741" t="n">
        <v>2</v>
      </c>
      <c r="C741" t="inlineStr"/>
      <c r="D741" t="inlineStr">
        <is>
          <t>Years of Wonder Ribbon Pin</t>
        </is>
      </c>
      <c r="E741" t="inlineStr"/>
      <c r="F741" t="n">
        <v>4000</v>
      </c>
      <c r="G741" t="inlineStr">
        <is>
          <t>N</t>
        </is>
      </c>
      <c r="H741" t="inlineStr"/>
      <c r="I741" t="inlineStr">
        <is>
          <t>none</t>
        </is>
      </c>
      <c r="J741" t="inlineStr">
        <is>
          <t>candidate</t>
        </is>
      </c>
      <c r="K741" t="inlineStr">
        <is>
          <t>Low</t>
        </is>
      </c>
      <c r="L741" t="inlineStr">
        <is>
          <t>wdw/2023/disney100-grand-finale/years-of-wonder-ribbon</t>
        </is>
      </c>
    </row>
    <row r="742">
      <c r="A742" t="inlineStr">
        <is>
          <t>PHS-0251</t>
        </is>
      </c>
      <c r="B742" t="n">
        <v>1</v>
      </c>
      <c r="C742" t="inlineStr">
        <is>
          <t>Daisy Duck; Donald Duck; Goofy; Mickey Mouse; Minnie Mouse; Pluto</t>
        </is>
      </c>
      <c r="D742" t="inlineStr">
        <is>
          <t>Holiday Cheer MVMCP 2023 Pin</t>
        </is>
      </c>
      <c r="E742" t="inlineStr"/>
      <c r="F742" t="n">
        <v>4000</v>
      </c>
      <c r="G742" t="inlineStr">
        <is>
          <t>N</t>
        </is>
      </c>
      <c r="H742" t="inlineStr"/>
      <c r="I742" t="inlineStr">
        <is>
          <t>none</t>
        </is>
      </c>
      <c r="J742" t="inlineStr">
        <is>
          <t>candidate</t>
        </is>
      </c>
      <c r="K742" t="inlineStr">
        <is>
          <t>Medium</t>
        </is>
      </c>
      <c r="L742" t="inlineStr">
        <is>
          <t>wdw/2023/mvmcp-2023/holiday-cheer</t>
        </is>
      </c>
    </row>
    <row r="743">
      <c r="A743" t="inlineStr">
        <is>
          <t>PHS-0251</t>
        </is>
      </c>
      <c r="B743" t="n">
        <v>2</v>
      </c>
      <c r="C743" t="inlineStr"/>
      <c r="D743" t="inlineStr">
        <is>
          <t>Holiday Magic MVMCP 2023 Pin</t>
        </is>
      </c>
      <c r="E743" t="inlineStr"/>
      <c r="F743" t="inlineStr"/>
      <c r="G743" t="inlineStr">
        <is>
          <t>N</t>
        </is>
      </c>
      <c r="H743" t="inlineStr"/>
      <c r="I743" t="inlineStr">
        <is>
          <t>none</t>
        </is>
      </c>
      <c r="J743" t="inlineStr">
        <is>
          <t>candidate</t>
        </is>
      </c>
      <c r="K743" t="inlineStr">
        <is>
          <t>Low</t>
        </is>
      </c>
      <c r="L743" t="inlineStr">
        <is>
          <t>wdw/2023/mvmcp-2023/holiday-magic</t>
        </is>
      </c>
    </row>
    <row r="744">
      <c r="A744" t="inlineStr">
        <is>
          <t>PHS-0252</t>
        </is>
      </c>
      <c r="B744" t="n">
        <v>1</v>
      </c>
      <c r="C744" t="inlineStr">
        <is>
          <t>Goofy; Mickey Mouse</t>
        </is>
      </c>
      <c r="D744" t="inlineStr">
        <is>
          <t>Tomorrowland Transit Authority PeopleMover – Annual Passholder-Exclusive PeopleMover Pin</t>
        </is>
      </c>
      <c r="E744" t="inlineStr"/>
      <c r="F744" t="n">
        <v>3000</v>
      </c>
      <c r="G744" t="inlineStr">
        <is>
          <t>N</t>
        </is>
      </c>
      <c r="H744" t="inlineStr"/>
      <c r="I744" t="inlineStr">
        <is>
          <t>none</t>
        </is>
      </c>
      <c r="J744" t="inlineStr">
        <is>
          <t>candidate</t>
        </is>
      </c>
      <c r="K744" t="inlineStr">
        <is>
          <t>Low</t>
        </is>
      </c>
      <c r="L744" t="inlineStr">
        <is>
          <t>wdw/2023/peoplemover-passholder-pin/mickey-goofy-peoplemover</t>
        </is>
      </c>
    </row>
    <row r="745">
      <c r="A745" t="inlineStr">
        <is>
          <t>PHS-0253</t>
        </is>
      </c>
      <c r="B745" t="n">
        <v>1</v>
      </c>
      <c r="C745" t="inlineStr">
        <is>
          <t>Figment</t>
        </is>
      </c>
      <c r="D745" t="inlineStr">
        <is>
          <t>Annual Passholder pin</t>
        </is>
      </c>
      <c r="E745" t="inlineStr"/>
      <c r="F745" t="n">
        <v>5000</v>
      </c>
      <c r="G745" t="inlineStr">
        <is>
          <t>N</t>
        </is>
      </c>
      <c r="H745" t="inlineStr"/>
      <c r="I745" t="inlineStr">
        <is>
          <t>none</t>
        </is>
      </c>
      <c r="J745" t="inlineStr">
        <is>
          <t>candidate</t>
        </is>
      </c>
      <c r="K745" t="inlineStr">
        <is>
          <t>Medium</t>
        </is>
      </c>
      <c r="L745" t="inlineStr">
        <is>
          <t>wdw/2024/epcot-festival-of-the-arts-2024/annual-passholder-figment</t>
        </is>
      </c>
    </row>
    <row r="746">
      <c r="A746" t="inlineStr">
        <is>
          <t>PHS-0253</t>
        </is>
      </c>
      <c r="B746" t="n">
        <v>2</v>
      </c>
      <c r="C746" t="inlineStr">
        <is>
          <t>Figment</t>
        </is>
      </c>
      <c r="D746" t="inlineStr">
        <is>
          <t>EPCOT International Festival of the Arts 2024 Figment Hinged Pin</t>
        </is>
      </c>
      <c r="E746" t="inlineStr"/>
      <c r="F746" t="n">
        <v>4000</v>
      </c>
      <c r="G746" t="inlineStr">
        <is>
          <t>N</t>
        </is>
      </c>
      <c r="H746" t="inlineStr"/>
      <c r="I746" t="inlineStr">
        <is>
          <t>none</t>
        </is>
      </c>
      <c r="J746" t="inlineStr">
        <is>
          <t>candidate</t>
        </is>
      </c>
      <c r="K746" t="inlineStr">
        <is>
          <t>Low</t>
        </is>
      </c>
      <c r="L746" t="inlineStr">
        <is>
          <t>wdw/2024/epcot-festival-of-the-arts-2024/figment-hinged</t>
        </is>
      </c>
    </row>
    <row r="747">
      <c r="A747" t="inlineStr">
        <is>
          <t>PHS-0253</t>
        </is>
      </c>
      <c r="B747" t="n">
        <v>3</v>
      </c>
      <c r="C747" t="inlineStr">
        <is>
          <t>Figment</t>
        </is>
      </c>
      <c r="D747" t="inlineStr">
        <is>
          <t>Figment – Epcot International Festival of the Arts 2024 pins</t>
        </is>
      </c>
      <c r="E747" t="inlineStr"/>
      <c r="F747" t="inlineStr"/>
      <c r="G747" t="inlineStr">
        <is>
          <t>N</t>
        </is>
      </c>
      <c r="H747" t="inlineStr"/>
      <c r="I747" t="inlineStr">
        <is>
          <t>none</t>
        </is>
      </c>
      <c r="J747" t="inlineStr">
        <is>
          <t>candidate</t>
        </is>
      </c>
      <c r="K747" t="inlineStr">
        <is>
          <t>Medium</t>
        </is>
      </c>
      <c r="L747" t="inlineStr">
        <is>
          <t>wdw/2024/epcot-festival-of-the-arts-2024/figment-pin-on-pin</t>
        </is>
      </c>
    </row>
    <row r="748">
      <c r="A748" t="inlineStr">
        <is>
          <t>PHS-0253</t>
        </is>
      </c>
      <c r="B748" t="n">
        <v>4</v>
      </c>
      <c r="C748" t="inlineStr">
        <is>
          <t>Mickey Mouse</t>
        </is>
      </c>
      <c r="D748" t="inlineStr">
        <is>
          <t>Mickey Mouse – Epcot International Festival of the Arts 2024 pins</t>
        </is>
      </c>
      <c r="E748" t="inlineStr"/>
      <c r="F748" t="inlineStr"/>
      <c r="G748" t="inlineStr">
        <is>
          <t>N</t>
        </is>
      </c>
      <c r="H748" t="inlineStr"/>
      <c r="I748" t="inlineStr">
        <is>
          <t>none</t>
        </is>
      </c>
      <c r="J748" t="inlineStr">
        <is>
          <t>candidate</t>
        </is>
      </c>
      <c r="K748" t="inlineStr">
        <is>
          <t>Medium</t>
        </is>
      </c>
      <c r="L748" t="inlineStr">
        <is>
          <t>wdw/2024/epcot-festival-of-the-arts-2024/mickey-pin-on-pin</t>
        </is>
      </c>
    </row>
    <row r="749">
      <c r="A749" t="inlineStr">
        <is>
          <t>PHS-0254</t>
        </is>
      </c>
      <c r="B749" t="n">
        <v>1</v>
      </c>
      <c r="C749" t="inlineStr">
        <is>
          <t>Minnie Mouse</t>
        </is>
      </c>
      <c r="D749" t="inlineStr">
        <is>
          <t>Minnie Mouse Icon Dangle Pin</t>
        </is>
      </c>
      <c r="E749" t="inlineStr"/>
      <c r="F749" t="inlineStr"/>
      <c r="G749" t="inlineStr">
        <is>
          <t>possible</t>
        </is>
      </c>
      <c r="H749" t="inlineStr"/>
      <c r="I749" t="inlineStr">
        <is>
          <t>none</t>
        </is>
      </c>
      <c r="J749" t="inlineStr">
        <is>
          <t>candidate</t>
        </is>
      </c>
      <c r="K749" t="inlineStr">
        <is>
          <t>Low</t>
        </is>
      </c>
      <c r="L749" t="inlineStr">
        <is>
          <t>wdw/2024/epcot-flower-garden-2024/minnie-icon-dangle</t>
        </is>
      </c>
    </row>
    <row r="750">
      <c r="A750" t="inlineStr">
        <is>
          <t>PHS-0254</t>
        </is>
      </c>
      <c r="B750" t="n">
        <v>2</v>
      </c>
      <c r="C750" t="inlineStr">
        <is>
          <t>Minnie Mouse</t>
        </is>
      </c>
      <c r="D750" t="inlineStr">
        <is>
          <t>Minnie Mouse – Epcot International Flower &amp; Garden Festival 2024 pins</t>
        </is>
      </c>
      <c r="E750" t="inlineStr"/>
      <c r="F750" t="inlineStr"/>
      <c r="G750" t="inlineStr">
        <is>
          <t>possible</t>
        </is>
      </c>
      <c r="H750" t="inlineStr"/>
      <c r="I750" t="inlineStr">
        <is>
          <t>none</t>
        </is>
      </c>
      <c r="J750" t="inlineStr">
        <is>
          <t>candidate</t>
        </is>
      </c>
      <c r="K750" t="inlineStr">
        <is>
          <t>Low</t>
        </is>
      </c>
      <c r="L750" t="inlineStr">
        <is>
          <t>wdw/2024/epcot-flower-garden-2024/minnie-pin-on-pin</t>
        </is>
      </c>
    </row>
    <row r="751">
      <c r="A751" t="inlineStr">
        <is>
          <t>PHS-0254</t>
        </is>
      </c>
      <c r="B751" t="n">
        <v>3</v>
      </c>
      <c r="C751" t="inlineStr">
        <is>
          <t>Orange Bird</t>
        </is>
      </c>
      <c r="D751" t="inlineStr">
        <is>
          <t>Orange Bird Flower Pot Pin</t>
        </is>
      </c>
      <c r="E751" t="inlineStr"/>
      <c r="F751" t="inlineStr"/>
      <c r="G751" t="inlineStr">
        <is>
          <t>possible</t>
        </is>
      </c>
      <c r="H751" t="inlineStr"/>
      <c r="I751" t="inlineStr">
        <is>
          <t>none</t>
        </is>
      </c>
      <c r="J751" t="inlineStr">
        <is>
          <t>candidate</t>
        </is>
      </c>
      <c r="K751" t="inlineStr">
        <is>
          <t>Medium</t>
        </is>
      </c>
      <c r="L751" t="inlineStr">
        <is>
          <t>wdw/2024/epcot-flower-garden-2024/orange-bird-flower-pot</t>
        </is>
      </c>
    </row>
    <row r="752">
      <c r="A752" t="inlineStr">
        <is>
          <t>PHS-0254</t>
        </is>
      </c>
      <c r="B752" t="n">
        <v>4</v>
      </c>
      <c r="C752" t="inlineStr">
        <is>
          <t>Orange Bird</t>
        </is>
      </c>
      <c r="D752" t="inlineStr">
        <is>
          <t>Orange Bird Glitter Pin</t>
        </is>
      </c>
      <c r="E752" t="inlineStr"/>
      <c r="F752" t="inlineStr"/>
      <c r="G752" t="inlineStr">
        <is>
          <t>possible</t>
        </is>
      </c>
      <c r="H752" t="inlineStr"/>
      <c r="I752" t="inlineStr">
        <is>
          <t>none</t>
        </is>
      </c>
      <c r="J752" t="inlineStr">
        <is>
          <t>candidate</t>
        </is>
      </c>
      <c r="K752" t="inlineStr">
        <is>
          <t>Low</t>
        </is>
      </c>
      <c r="L752" t="inlineStr">
        <is>
          <t>wdw/2024/epcot-flower-garden-2024/orange-bird-glitter</t>
        </is>
      </c>
    </row>
    <row r="753">
      <c r="A753" t="inlineStr">
        <is>
          <t>PHS-0254</t>
        </is>
      </c>
      <c r="B753" t="n">
        <v>5</v>
      </c>
      <c r="C753" t="inlineStr">
        <is>
          <t>Spike the Bee</t>
        </is>
      </c>
      <c r="D753" t="inlineStr">
        <is>
          <t>Spike the Bee – Epcot International Flower &amp; Garden Festival 2024 pins</t>
        </is>
      </c>
      <c r="E753" t="inlineStr"/>
      <c r="F753" t="n">
        <v>4000</v>
      </c>
      <c r="G753" t="inlineStr">
        <is>
          <t>possible</t>
        </is>
      </c>
      <c r="H753" t="inlineStr"/>
      <c r="I753" t="inlineStr">
        <is>
          <t>none</t>
        </is>
      </c>
      <c r="J753" t="inlineStr">
        <is>
          <t>candidate</t>
        </is>
      </c>
      <c r="K753" t="inlineStr">
        <is>
          <t>Medium</t>
        </is>
      </c>
      <c r="L753" t="inlineStr">
        <is>
          <t>wdw/2024/epcot-flower-garden-2024/spike-the-bee-passholder</t>
        </is>
      </c>
    </row>
    <row r="754">
      <c r="A754" t="inlineStr">
        <is>
          <t>PHS-0254</t>
        </is>
      </c>
      <c r="B754" t="n">
        <v>6</v>
      </c>
      <c r="C754" t="inlineStr">
        <is>
          <t>Spike the Bee</t>
        </is>
      </c>
      <c r="D754" t="inlineStr">
        <is>
          <t>Spike the Bee – Epcot International Flower &amp; Garden Festival 2024 pins</t>
        </is>
      </c>
      <c r="E754" t="inlineStr"/>
      <c r="F754" t="n">
        <v>4000</v>
      </c>
      <c r="G754" t="inlineStr">
        <is>
          <t>possible</t>
        </is>
      </c>
      <c r="H754" t="inlineStr"/>
      <c r="I754" t="inlineStr">
        <is>
          <t>none</t>
        </is>
      </c>
      <c r="J754" t="inlineStr">
        <is>
          <t>candidate</t>
        </is>
      </c>
      <c r="K754" t="inlineStr">
        <is>
          <t>Low</t>
        </is>
      </c>
      <c r="L754" t="inlineStr">
        <is>
          <t>wdw/2024/epcot-flower-garden-2024/spike-the-bee-passholder-le</t>
        </is>
      </c>
    </row>
    <row r="755">
      <c r="A755" t="inlineStr">
        <is>
          <t>PHS-0255</t>
        </is>
      </c>
      <c r="B755" t="n">
        <v>1</v>
      </c>
      <c r="C755" t="inlineStr">
        <is>
          <t>Banzai; Ed; Shenzi</t>
        </is>
      </c>
      <c r="D755" t="inlineStr">
        <is>
          <t>Banzai &amp; Ed &amp; Shenzi – Mickey's Not So Scary Halloween Party 2024 pins</t>
        </is>
      </c>
      <c r="E755" t="inlineStr"/>
      <c r="F755" t="n">
        <v>5000</v>
      </c>
      <c r="G755" t="inlineStr">
        <is>
          <t>N</t>
        </is>
      </c>
      <c r="H755" t="inlineStr"/>
      <c r="I755" t="inlineStr">
        <is>
          <t>none</t>
        </is>
      </c>
      <c r="J755" t="inlineStr">
        <is>
          <t>candidate</t>
        </is>
      </c>
      <c r="K755" t="inlineStr">
        <is>
          <t>Low</t>
        </is>
      </c>
      <c r="L755" t="inlineStr">
        <is>
          <t>wdw/2024/mnsshp-2024/hyenas</t>
        </is>
      </c>
    </row>
    <row r="756">
      <c r="A756" t="inlineStr">
        <is>
          <t>PHS-0255</t>
        </is>
      </c>
      <c r="B756" t="n">
        <v>2</v>
      </c>
      <c r="C756" t="inlineStr">
        <is>
          <t>Jack Skellington; Sally</t>
        </is>
      </c>
      <c r="D756" t="inlineStr">
        <is>
          <t>Jack Skellington &amp; Sally – Mickey's Not So Scary Halloween Party 2024 pins</t>
        </is>
      </c>
      <c r="E756" t="inlineStr"/>
      <c r="F756" t="n">
        <v>5000</v>
      </c>
      <c r="G756" t="inlineStr">
        <is>
          <t>N</t>
        </is>
      </c>
      <c r="H756" t="inlineStr"/>
      <c r="I756" t="inlineStr">
        <is>
          <t>none</t>
        </is>
      </c>
      <c r="J756" t="inlineStr">
        <is>
          <t>candidate</t>
        </is>
      </c>
      <c r="K756" t="inlineStr">
        <is>
          <t>Low</t>
        </is>
      </c>
      <c r="L756" t="inlineStr">
        <is>
          <t>wdw/2024/mnsshp-2024/jack-skellington-and-sally</t>
        </is>
      </c>
    </row>
    <row r="757">
      <c r="A757" t="inlineStr">
        <is>
          <t>PHS-0255</t>
        </is>
      </c>
      <c r="B757" t="n">
        <v>3</v>
      </c>
      <c r="C757" t="inlineStr">
        <is>
          <t>Pain; Panic</t>
        </is>
      </c>
      <c r="D757" t="inlineStr">
        <is>
          <t>Pain &amp; Panic – Mickey's Not So Scary Halloween Party 2024 pins</t>
        </is>
      </c>
      <c r="E757" t="inlineStr"/>
      <c r="F757" t="n">
        <v>5000</v>
      </c>
      <c r="G757" t="inlineStr">
        <is>
          <t>N</t>
        </is>
      </c>
      <c r="H757" t="inlineStr"/>
      <c r="I757" t="inlineStr">
        <is>
          <t>none</t>
        </is>
      </c>
      <c r="J757" t="inlineStr">
        <is>
          <t>candidate</t>
        </is>
      </c>
      <c r="K757" t="inlineStr">
        <is>
          <t>Low</t>
        </is>
      </c>
      <c r="L757" t="inlineStr">
        <is>
          <t>wdw/2024/mnsshp-2024/pain-and-panic</t>
        </is>
      </c>
    </row>
    <row r="758">
      <c r="A758" t="inlineStr">
        <is>
          <t>PHS-0255</t>
        </is>
      </c>
      <c r="B758" t="n">
        <v>4</v>
      </c>
      <c r="C758" t="inlineStr">
        <is>
          <t>Eeyore; Piglet; Tigger; Winnie the Pooh</t>
        </is>
      </c>
      <c r="D758" t="inlineStr">
        <is>
          <t>Eeyore &amp; Piglet &amp; Tigger &amp; Winnie the Pooh – Mickey's Not So Scary Halloween Party 2024 pins</t>
        </is>
      </c>
      <c r="E758" t="inlineStr"/>
      <c r="F758" t="n">
        <v>5000</v>
      </c>
      <c r="G758" t="inlineStr">
        <is>
          <t>N</t>
        </is>
      </c>
      <c r="H758" t="inlineStr"/>
      <c r="I758" t="inlineStr">
        <is>
          <t>none</t>
        </is>
      </c>
      <c r="J758" t="inlineStr">
        <is>
          <t>candidate</t>
        </is>
      </c>
      <c r="K758" t="inlineStr">
        <is>
          <t>Low</t>
        </is>
      </c>
      <c r="L758" t="inlineStr">
        <is>
          <t>wdw/2024/mnsshp-2024/winnie-the-pooh-and-friends</t>
        </is>
      </c>
    </row>
    <row r="759">
      <c r="A759" t="inlineStr">
        <is>
          <t>PHS-0256</t>
        </is>
      </c>
      <c r="B759" t="n">
        <v>1</v>
      </c>
      <c r="C759" t="inlineStr">
        <is>
          <t>Mickey Mouse; Minnie Mouse</t>
        </is>
      </c>
      <c r="D759" t="inlineStr">
        <is>
          <t>Mickey Mouse &amp; Minnie Mouse – Mickey's Not So Scary Halloween Party 2024 Boxed Pin Set</t>
        </is>
      </c>
      <c r="E759" t="inlineStr"/>
      <c r="F759" t="inlineStr"/>
      <c r="G759" t="inlineStr">
        <is>
          <t>N</t>
        </is>
      </c>
      <c r="H759" t="inlineStr"/>
      <c r="I759" t="inlineStr">
        <is>
          <t>none</t>
        </is>
      </c>
      <c r="J759" t="inlineStr">
        <is>
          <t>candidate</t>
        </is>
      </c>
      <c r="K759" t="inlineStr">
        <is>
          <t>Low</t>
        </is>
      </c>
      <c r="L759" t="inlineStr">
        <is>
          <t>wdw/2024/mnsshp-2024-boxed-pin-set/mickey-minnie-completer</t>
        </is>
      </c>
    </row>
    <row r="760">
      <c r="A760" t="inlineStr">
        <is>
          <t>PHS-0257</t>
        </is>
      </c>
      <c r="B760" t="n">
        <v>1</v>
      </c>
      <c r="C760" t="inlineStr">
        <is>
          <t>Figment</t>
        </is>
      </c>
      <c r="D760" t="inlineStr">
        <is>
          <t>Chef Figment pin</t>
        </is>
      </c>
      <c r="E760" t="inlineStr"/>
      <c r="F760" t="inlineStr"/>
      <c r="G760" t="inlineStr">
        <is>
          <t>possible</t>
        </is>
      </c>
      <c r="H760" t="inlineStr"/>
      <c r="I760" t="inlineStr">
        <is>
          <t>none</t>
        </is>
      </c>
      <c r="J760" t="inlineStr">
        <is>
          <t>candidate</t>
        </is>
      </c>
      <c r="K760" t="inlineStr">
        <is>
          <t>Low</t>
        </is>
      </c>
      <c r="L760" t="inlineStr">
        <is>
          <t>wdw/2024/epcot-food-wine-2024/chef-figment</t>
        </is>
      </c>
    </row>
    <row r="761">
      <c r="A761" t="inlineStr">
        <is>
          <t>PHS-0257</t>
        </is>
      </c>
      <c r="B761" t="n">
        <v>2</v>
      </c>
      <c r="C761" t="inlineStr">
        <is>
          <t>Mickey Mouse</t>
        </is>
      </c>
      <c r="D761" t="inlineStr">
        <is>
          <t>Chef Mickey pin</t>
        </is>
      </c>
      <c r="E761" t="inlineStr"/>
      <c r="F761" t="inlineStr"/>
      <c r="G761" t="inlineStr">
        <is>
          <t>possible</t>
        </is>
      </c>
      <c r="H761" t="inlineStr"/>
      <c r="I761" t="inlineStr">
        <is>
          <t>none</t>
        </is>
      </c>
      <c r="J761" t="inlineStr">
        <is>
          <t>candidate</t>
        </is>
      </c>
      <c r="K761" t="inlineStr">
        <is>
          <t>Low</t>
        </is>
      </c>
      <c r="L761" t="inlineStr">
        <is>
          <t>wdw/2024/epcot-food-wine-2024/chef-mickey</t>
        </is>
      </c>
    </row>
    <row r="762">
      <c r="A762" t="inlineStr">
        <is>
          <t>PHS-0257</t>
        </is>
      </c>
      <c r="B762" t="n">
        <v>3</v>
      </c>
      <c r="C762" t="inlineStr">
        <is>
          <t>Minnie Mouse</t>
        </is>
      </c>
      <c r="D762" t="inlineStr">
        <is>
          <t>Chef Minnie pin</t>
        </is>
      </c>
      <c r="E762" t="inlineStr"/>
      <c r="F762" t="inlineStr"/>
      <c r="G762" t="inlineStr">
        <is>
          <t>possible</t>
        </is>
      </c>
      <c r="H762" t="inlineStr"/>
      <c r="I762" t="inlineStr">
        <is>
          <t>none</t>
        </is>
      </c>
      <c r="J762" t="inlineStr">
        <is>
          <t>candidate</t>
        </is>
      </c>
      <c r="K762" t="inlineStr">
        <is>
          <t>Low</t>
        </is>
      </c>
      <c r="L762" t="inlineStr">
        <is>
          <t>wdw/2024/epcot-food-wine-2024/chef-minnie</t>
        </is>
      </c>
    </row>
    <row r="763">
      <c r="A763" t="inlineStr">
        <is>
          <t>PHS-0257</t>
        </is>
      </c>
      <c r="B763" t="n">
        <v>4</v>
      </c>
      <c r="C763" t="inlineStr">
        <is>
          <t>Remy</t>
        </is>
      </c>
      <c r="D763" t="inlineStr">
        <is>
          <t>Chef Remy pin</t>
        </is>
      </c>
      <c r="E763" t="inlineStr"/>
      <c r="F763" t="inlineStr"/>
      <c r="G763" t="inlineStr">
        <is>
          <t>possible</t>
        </is>
      </c>
      <c r="H763" t="inlineStr"/>
      <c r="I763" t="inlineStr">
        <is>
          <t>none</t>
        </is>
      </c>
      <c r="J763" t="inlineStr">
        <is>
          <t>candidate</t>
        </is>
      </c>
      <c r="K763" t="inlineStr">
        <is>
          <t>Low</t>
        </is>
      </c>
      <c r="L763" t="inlineStr">
        <is>
          <t>wdw/2024/epcot-food-wine-2024/chef-remy-limited-release</t>
        </is>
      </c>
    </row>
    <row r="764">
      <c r="A764" t="inlineStr">
        <is>
          <t>PHS-0257</t>
        </is>
      </c>
      <c r="B764" t="n">
        <v>5</v>
      </c>
      <c r="C764" t="inlineStr">
        <is>
          <t>Figment</t>
        </is>
      </c>
      <c r="D764" t="inlineStr">
        <is>
          <t>Figment Passholder Pin</t>
        </is>
      </c>
      <c r="E764" t="inlineStr"/>
      <c r="F764" t="n">
        <v>5000</v>
      </c>
      <c r="G764" t="inlineStr">
        <is>
          <t>possible</t>
        </is>
      </c>
      <c r="H764" t="inlineStr"/>
      <c r="I764" t="inlineStr">
        <is>
          <t>none</t>
        </is>
      </c>
      <c r="J764" t="inlineStr">
        <is>
          <t>candidate</t>
        </is>
      </c>
      <c r="K764" t="inlineStr">
        <is>
          <t>Medium</t>
        </is>
      </c>
      <c r="L764" t="inlineStr">
        <is>
          <t>wdw/2024/epcot-food-wine-2024/figment-passholder</t>
        </is>
      </c>
    </row>
    <row r="765">
      <c r="A765" t="inlineStr">
        <is>
          <t>PHS-0257</t>
        </is>
      </c>
      <c r="B765" t="n">
        <v>6</v>
      </c>
      <c r="C765" t="inlineStr"/>
      <c r="D765" t="inlineStr">
        <is>
          <t>Food &amp; Wine logo pin</t>
        </is>
      </c>
      <c r="E765" t="inlineStr"/>
      <c r="F765" t="inlineStr"/>
      <c r="G765" t="inlineStr">
        <is>
          <t>possible</t>
        </is>
      </c>
      <c r="H765" t="inlineStr"/>
      <c r="I765" t="inlineStr">
        <is>
          <t>none</t>
        </is>
      </c>
      <c r="J765" t="inlineStr">
        <is>
          <t>candidate</t>
        </is>
      </c>
      <c r="K765" t="inlineStr">
        <is>
          <t>Low</t>
        </is>
      </c>
      <c r="L765" t="inlineStr">
        <is>
          <t>wdw/2024/epcot-food-wine-2024/logo</t>
        </is>
      </c>
    </row>
    <row r="766">
      <c r="A766" t="inlineStr">
        <is>
          <t>PHS-0257</t>
        </is>
      </c>
      <c r="B766" t="n">
        <v>7</v>
      </c>
      <c r="C766" t="inlineStr">
        <is>
          <t>Mickey Mouse; Minnie Mouse</t>
        </is>
      </c>
      <c r="D766" t="inlineStr">
        <is>
          <t>Mickey Mouse &amp; Minnie Mouse – Epcot International Food &amp; Wine Festival 2024 pins</t>
        </is>
      </c>
      <c r="E766" t="inlineStr"/>
      <c r="F766" t="inlineStr"/>
      <c r="G766" t="inlineStr">
        <is>
          <t>possible</t>
        </is>
      </c>
      <c r="H766" t="inlineStr"/>
      <c r="I766" t="inlineStr">
        <is>
          <t>none</t>
        </is>
      </c>
      <c r="J766" t="inlineStr">
        <is>
          <t>candidate</t>
        </is>
      </c>
      <c r="K766" t="inlineStr">
        <is>
          <t>Medium</t>
        </is>
      </c>
      <c r="L766" t="inlineStr">
        <is>
          <t>wdw/2024/epcot-food-wine-2024/mickey-minnie-passholder</t>
        </is>
      </c>
    </row>
    <row r="767">
      <c r="A767" t="inlineStr">
        <is>
          <t>PHS-0257</t>
        </is>
      </c>
      <c r="B767" t="n">
        <v>8</v>
      </c>
      <c r="C767" t="inlineStr"/>
      <c r="D767" t="inlineStr">
        <is>
          <t>Muppet Labs pin</t>
        </is>
      </c>
      <c r="E767" t="inlineStr"/>
      <c r="F767" t="inlineStr"/>
      <c r="G767" t="inlineStr">
        <is>
          <t>possible</t>
        </is>
      </c>
      <c r="H767" t="inlineStr"/>
      <c r="I767" t="inlineStr">
        <is>
          <t>none</t>
        </is>
      </c>
      <c r="J767" t="inlineStr">
        <is>
          <t>candidate</t>
        </is>
      </c>
      <c r="K767" t="inlineStr">
        <is>
          <t>Low</t>
        </is>
      </c>
      <c r="L767" t="inlineStr">
        <is>
          <t>wdw/2024/epcot-food-wine-2024/muppet-labs</t>
        </is>
      </c>
    </row>
    <row r="768">
      <c r="A768" t="inlineStr">
        <is>
          <t>PHS-0257</t>
        </is>
      </c>
      <c r="B768" t="n">
        <v>9</v>
      </c>
      <c r="C768" t="inlineStr">
        <is>
          <t>Remy</t>
        </is>
      </c>
      <c r="D768" t="inlineStr">
        <is>
          <t>Remy Epcot Food &amp; Wine Festival Logo Dangle Pin</t>
        </is>
      </c>
      <c r="E768" t="inlineStr"/>
      <c r="F768" t="n">
        <v>4000</v>
      </c>
      <c r="G768" t="inlineStr">
        <is>
          <t>possible</t>
        </is>
      </c>
      <c r="H768" t="inlineStr"/>
      <c r="I768" t="inlineStr">
        <is>
          <t>none</t>
        </is>
      </c>
      <c r="J768" t="inlineStr">
        <is>
          <t>candidate</t>
        </is>
      </c>
      <c r="K768" t="inlineStr">
        <is>
          <t>Medium</t>
        </is>
      </c>
      <c r="L768" t="inlineStr">
        <is>
          <t>wdw/2024/epcot-food-wine-2024/remy</t>
        </is>
      </c>
    </row>
    <row r="769">
      <c r="A769" t="inlineStr">
        <is>
          <t>PHS-0258</t>
        </is>
      </c>
      <c r="B769" t="n">
        <v>1</v>
      </c>
      <c r="C769" t="inlineStr">
        <is>
          <t>Mickey Mouse</t>
        </is>
      </c>
      <c r="D769" t="inlineStr">
        <is>
          <t>Pere Noel</t>
        </is>
      </c>
      <c r="E769" t="inlineStr"/>
      <c r="F769" t="n">
        <v>2000</v>
      </c>
      <c r="G769" t="inlineStr">
        <is>
          <t>N</t>
        </is>
      </c>
      <c r="H769" t="inlineStr"/>
      <c r="I769" t="inlineStr">
        <is>
          <t>none</t>
        </is>
      </c>
      <c r="J769" t="inlineStr">
        <is>
          <t>candidate</t>
        </is>
      </c>
      <c r="K769" t="inlineStr">
        <is>
          <t>Low</t>
        </is>
      </c>
      <c r="L769" t="inlineStr">
        <is>
          <t>wdw/2024/holidays-around-the-world-storytellers/france-pere-noel</t>
        </is>
      </c>
    </row>
    <row r="770">
      <c r="A770" t="inlineStr">
        <is>
          <t>PHS-0258</t>
        </is>
      </c>
      <c r="B770" t="n">
        <v>2</v>
      </c>
      <c r="C770" t="inlineStr">
        <is>
          <t>Minnie Mouse</t>
        </is>
      </c>
      <c r="D770" t="inlineStr">
        <is>
          <t>La Befana</t>
        </is>
      </c>
      <c r="E770" t="inlineStr"/>
      <c r="F770" t="n">
        <v>2000</v>
      </c>
      <c r="G770" t="inlineStr">
        <is>
          <t>N</t>
        </is>
      </c>
      <c r="H770" t="inlineStr"/>
      <c r="I770" t="inlineStr">
        <is>
          <t>none</t>
        </is>
      </c>
      <c r="J770" t="inlineStr">
        <is>
          <t>candidate</t>
        </is>
      </c>
      <c r="K770" t="inlineStr">
        <is>
          <t>Low</t>
        </is>
      </c>
      <c r="L770" t="inlineStr">
        <is>
          <t>wdw/2024/holidays-around-the-world-storytellers/italy-la-befana</t>
        </is>
      </c>
    </row>
    <row r="771">
      <c r="A771" t="inlineStr">
        <is>
          <t>PHS-0258</t>
        </is>
      </c>
      <c r="B771" t="n">
        <v>3</v>
      </c>
      <c r="C771" t="inlineStr">
        <is>
          <t>Mickey Mouse</t>
        </is>
      </c>
      <c r="D771" t="inlineStr">
        <is>
          <t>Barn Santa</t>
        </is>
      </c>
      <c r="E771" t="inlineStr"/>
      <c r="F771" t="n">
        <v>2000</v>
      </c>
      <c r="G771" t="inlineStr">
        <is>
          <t>N</t>
        </is>
      </c>
      <c r="H771" t="inlineStr"/>
      <c r="I771" t="inlineStr">
        <is>
          <t>none</t>
        </is>
      </c>
      <c r="J771" t="inlineStr">
        <is>
          <t>candidate</t>
        </is>
      </c>
      <c r="K771" t="inlineStr">
        <is>
          <t>Low</t>
        </is>
      </c>
      <c r="L771" t="inlineStr">
        <is>
          <t>wdw/2024/holidays-around-the-world-storytellers/norway-barn-santa</t>
        </is>
      </c>
    </row>
    <row r="772">
      <c r="A772" t="inlineStr">
        <is>
          <t>PHS-0258</t>
        </is>
      </c>
      <c r="B772" t="n">
        <v>4</v>
      </c>
      <c r="C772" t="inlineStr">
        <is>
          <t>Mickey Mouse</t>
        </is>
      </c>
      <c r="D772" t="inlineStr">
        <is>
          <t>Father Christmas</t>
        </is>
      </c>
      <c r="E772" t="inlineStr"/>
      <c r="F772" t="n">
        <v>2000</v>
      </c>
      <c r="G772" t="inlineStr">
        <is>
          <t>N</t>
        </is>
      </c>
      <c r="H772" t="inlineStr"/>
      <c r="I772" t="inlineStr">
        <is>
          <t>none</t>
        </is>
      </c>
      <c r="J772" t="inlineStr">
        <is>
          <t>candidate</t>
        </is>
      </c>
      <c r="K772" t="inlineStr">
        <is>
          <t>Low</t>
        </is>
      </c>
      <c r="L772" t="inlineStr">
        <is>
          <t>wdw/2024/holidays-around-the-world-storytellers/uk-father-christmas</t>
        </is>
      </c>
    </row>
    <row r="773">
      <c r="A773" t="inlineStr">
        <is>
          <t>PHS-0259</t>
        </is>
      </c>
      <c r="B773" t="n">
        <v>1</v>
      </c>
      <c r="C773" t="inlineStr"/>
      <c r="D773" t="inlineStr">
        <is>
          <t>Annual Passholder Snowglobe Pin</t>
        </is>
      </c>
      <c r="E773" t="inlineStr"/>
      <c r="F773" t="n">
        <v>4000</v>
      </c>
      <c r="G773" t="inlineStr">
        <is>
          <t>N</t>
        </is>
      </c>
      <c r="H773" t="inlineStr"/>
      <c r="I773" t="inlineStr">
        <is>
          <t>none</t>
        </is>
      </c>
      <c r="J773" t="inlineStr">
        <is>
          <t>candidate</t>
        </is>
      </c>
      <c r="K773" t="inlineStr">
        <is>
          <t>Medium</t>
        </is>
      </c>
      <c r="L773" t="inlineStr">
        <is>
          <t>wdw/2024/epcot-festival-of-the-holidays-2024/annual-passholder-snowglobe</t>
        </is>
      </c>
    </row>
    <row r="774">
      <c r="A774" t="inlineStr">
        <is>
          <t>PHS-0259</t>
        </is>
      </c>
      <c r="B774" t="n">
        <v>2</v>
      </c>
      <c r="C774" t="inlineStr"/>
      <c r="D774" t="inlineStr">
        <is>
          <t>Snow Globe Pin</t>
        </is>
      </c>
      <c r="E774" t="inlineStr"/>
      <c r="F774" t="inlineStr"/>
      <c r="G774" t="inlineStr">
        <is>
          <t>N</t>
        </is>
      </c>
      <c r="H774" t="inlineStr"/>
      <c r="I774" t="inlineStr">
        <is>
          <t>none</t>
        </is>
      </c>
      <c r="J774" t="inlineStr">
        <is>
          <t>candidate</t>
        </is>
      </c>
      <c r="K774" t="inlineStr">
        <is>
          <t>Medium</t>
        </is>
      </c>
      <c r="L774" t="inlineStr">
        <is>
          <t>wdw/2024/epcot-festival-of-the-holidays-2024/snow-globe</t>
        </is>
      </c>
    </row>
    <row r="775">
      <c r="A775" t="inlineStr">
        <is>
          <t>PHS-0260</t>
        </is>
      </c>
      <c r="B775" t="n">
        <v>1</v>
      </c>
      <c r="C775" t="inlineStr"/>
      <c r="D775" t="inlineStr"/>
      <c r="E775" t="inlineStr"/>
      <c r="F775" t="n">
        <v>300</v>
      </c>
      <c r="G775" t="inlineStr">
        <is>
          <t>N</t>
        </is>
      </c>
      <c r="H775" t="inlineStr"/>
      <c r="I775" t="inlineStr">
        <is>
          <t>none</t>
        </is>
      </c>
      <c r="J775" t="inlineStr">
        <is>
          <t>candidate</t>
        </is>
      </c>
      <c r="K775" t="inlineStr">
        <is>
          <t>Unverified</t>
        </is>
      </c>
      <c r="L775" t="inlineStr">
        <is>
          <t>wdw/2024/epcot-festival-of-the-holidays-2024-club-33/club-33-pin</t>
        </is>
      </c>
    </row>
    <row r="776">
      <c r="A776" t="inlineStr">
        <is>
          <t>PHS-0261</t>
        </is>
      </c>
      <c r="B776" t="n">
        <v>1</v>
      </c>
      <c r="C776" t="inlineStr"/>
      <c r="D776" t="inlineStr">
        <is>
          <t>Charming Carousels - Big Thunder Mountain Railroad</t>
        </is>
      </c>
      <c r="E776" t="inlineStr"/>
      <c r="F776" t="n">
        <v>2000</v>
      </c>
      <c r="G776" t="inlineStr">
        <is>
          <t>N</t>
        </is>
      </c>
      <c r="H776" t="inlineStr"/>
      <c r="I776" t="inlineStr">
        <is>
          <t>none</t>
        </is>
      </c>
      <c r="J776" t="inlineStr">
        <is>
          <t>candidate</t>
        </is>
      </c>
      <c r="K776" t="inlineStr">
        <is>
          <t>Low</t>
        </is>
      </c>
      <c r="L776" t="inlineStr">
        <is>
          <t>wdw/2025/charming-carousels/big-thunder-mountain-railroad</t>
        </is>
      </c>
    </row>
    <row r="777">
      <c r="A777" t="inlineStr">
        <is>
          <t>PHS-0261</t>
        </is>
      </c>
      <c r="B777" t="n">
        <v>2</v>
      </c>
      <c r="C777" t="inlineStr"/>
      <c r="D777" t="inlineStr">
        <is>
          <t>Charming Carousels - Enchanted Tiki Room</t>
        </is>
      </c>
      <c r="E777" t="inlineStr"/>
      <c r="F777" t="n">
        <v>2000</v>
      </c>
      <c r="G777" t="inlineStr">
        <is>
          <t>N</t>
        </is>
      </c>
      <c r="H777" t="inlineStr"/>
      <c r="I777" t="inlineStr">
        <is>
          <t>none</t>
        </is>
      </c>
      <c r="J777" t="inlineStr">
        <is>
          <t>candidate</t>
        </is>
      </c>
      <c r="K777" t="inlineStr">
        <is>
          <t>Medium</t>
        </is>
      </c>
      <c r="L777" t="inlineStr">
        <is>
          <t>wdw/2025/charming-carousels/enchanted-tiki-room</t>
        </is>
      </c>
    </row>
    <row r="778">
      <c r="A778" t="inlineStr">
        <is>
          <t>PHS-0261</t>
        </is>
      </c>
      <c r="B778" t="n">
        <v>3</v>
      </c>
      <c r="C778" t="inlineStr"/>
      <c r="D778" t="inlineStr">
        <is>
          <t>Charming Carousels - Mad Tea Party</t>
        </is>
      </c>
      <c r="E778" t="inlineStr"/>
      <c r="F778" t="n">
        <v>2000</v>
      </c>
      <c r="G778" t="inlineStr">
        <is>
          <t>N</t>
        </is>
      </c>
      <c r="H778" t="inlineStr"/>
      <c r="I778" t="inlineStr">
        <is>
          <t>none</t>
        </is>
      </c>
      <c r="J778" t="inlineStr">
        <is>
          <t>candidate</t>
        </is>
      </c>
      <c r="K778" t="inlineStr">
        <is>
          <t>Low</t>
        </is>
      </c>
      <c r="L778" t="inlineStr">
        <is>
          <t>wdw/2025/charming-carousels/mad-tea-party</t>
        </is>
      </c>
    </row>
    <row r="779">
      <c r="A779" t="inlineStr">
        <is>
          <t>PHS-0261</t>
        </is>
      </c>
      <c r="B779" t="n">
        <v>4</v>
      </c>
      <c r="C779" t="inlineStr"/>
      <c r="D779" t="inlineStr">
        <is>
          <t>Charming Carousels - Peter Pan's Flight</t>
        </is>
      </c>
      <c r="E779" t="inlineStr"/>
      <c r="F779" t="n">
        <v>2000</v>
      </c>
      <c r="G779" t="inlineStr">
        <is>
          <t>N</t>
        </is>
      </c>
      <c r="H779" t="inlineStr"/>
      <c r="I779" t="inlineStr">
        <is>
          <t>none</t>
        </is>
      </c>
      <c r="J779" t="inlineStr">
        <is>
          <t>candidate</t>
        </is>
      </c>
      <c r="K779" t="inlineStr">
        <is>
          <t>Low</t>
        </is>
      </c>
      <c r="L779" t="inlineStr">
        <is>
          <t>wdw/2025/charming-carousels/peter-pans-flight</t>
        </is>
      </c>
    </row>
    <row r="780">
      <c r="A780" t="inlineStr">
        <is>
          <t>PHS-0261</t>
        </is>
      </c>
      <c r="B780" t="n">
        <v>5</v>
      </c>
      <c r="C780" t="inlineStr"/>
      <c r="D780" t="inlineStr">
        <is>
          <t>Charming Carousels - Pirates of the Caribbean</t>
        </is>
      </c>
      <c r="E780" t="inlineStr"/>
      <c r="F780" t="n">
        <v>2000</v>
      </c>
      <c r="G780" t="inlineStr">
        <is>
          <t>N</t>
        </is>
      </c>
      <c r="H780" t="inlineStr"/>
      <c r="I780" t="inlineStr">
        <is>
          <t>none</t>
        </is>
      </c>
      <c r="J780" t="inlineStr">
        <is>
          <t>candidate</t>
        </is>
      </c>
      <c r="K780" t="inlineStr">
        <is>
          <t>Medium</t>
        </is>
      </c>
      <c r="L780" t="inlineStr">
        <is>
          <t>wdw/2025/charming-carousels/pirates-of-the-caribbean</t>
        </is>
      </c>
    </row>
    <row r="781">
      <c r="A781" t="inlineStr">
        <is>
          <t>PHS-0261</t>
        </is>
      </c>
      <c r="B781" t="n">
        <v>6</v>
      </c>
      <c r="C781" t="inlineStr"/>
      <c r="D781" t="inlineStr">
        <is>
          <t>Charming Carousels - Voyage of the Little Mermaid</t>
        </is>
      </c>
      <c r="E781" t="inlineStr"/>
      <c r="F781" t="n">
        <v>2000</v>
      </c>
      <c r="G781" t="inlineStr">
        <is>
          <t>N</t>
        </is>
      </c>
      <c r="H781" t="inlineStr"/>
      <c r="I781" t="inlineStr">
        <is>
          <t>none</t>
        </is>
      </c>
      <c r="J781" t="inlineStr">
        <is>
          <t>candidate</t>
        </is>
      </c>
      <c r="K781" t="inlineStr">
        <is>
          <t>Low</t>
        </is>
      </c>
      <c r="L781" t="inlineStr">
        <is>
          <t>wdw/2025/charming-carousels/voyage-of-the-little-mermaid</t>
        </is>
      </c>
    </row>
    <row r="782">
      <c r="A782" t="inlineStr">
        <is>
          <t>PHS-0262</t>
        </is>
      </c>
      <c r="B782" t="n">
        <v>1</v>
      </c>
      <c r="C782" t="inlineStr">
        <is>
          <t>Cogsworth; Lumiere</t>
        </is>
      </c>
      <c r="D782" t="inlineStr">
        <is>
          <t>Dining with Disney - Be Our Guest</t>
        </is>
      </c>
      <c r="E782" t="inlineStr"/>
      <c r="F782" t="n">
        <v>2500</v>
      </c>
      <c r="G782" t="inlineStr">
        <is>
          <t>N</t>
        </is>
      </c>
      <c r="H782" t="inlineStr"/>
      <c r="I782" t="inlineStr">
        <is>
          <t>none</t>
        </is>
      </c>
      <c r="J782" t="inlineStr">
        <is>
          <t>candidate</t>
        </is>
      </c>
      <c r="K782" t="inlineStr">
        <is>
          <t>Medium</t>
        </is>
      </c>
      <c r="L782" t="inlineStr">
        <is>
          <t>wdw/2025/dining-with-disney/be-our-guest</t>
        </is>
      </c>
    </row>
    <row r="783">
      <c r="A783" t="inlineStr">
        <is>
          <t>PHS-0262</t>
        </is>
      </c>
      <c r="B783" t="n">
        <v>2</v>
      </c>
      <c r="C783" t="inlineStr"/>
      <c r="D783" t="inlineStr">
        <is>
          <t>Dining with Disney - Beaches &amp; Cream Soda Shop</t>
        </is>
      </c>
      <c r="E783" t="inlineStr"/>
      <c r="F783" t="n">
        <v>2500</v>
      </c>
      <c r="G783" t="inlineStr">
        <is>
          <t>N</t>
        </is>
      </c>
      <c r="H783" t="inlineStr"/>
      <c r="I783" t="inlineStr">
        <is>
          <t>none</t>
        </is>
      </c>
      <c r="J783" t="inlineStr">
        <is>
          <t>candidate</t>
        </is>
      </c>
      <c r="K783" t="inlineStr">
        <is>
          <t>Low</t>
        </is>
      </c>
      <c r="L783" t="inlineStr">
        <is>
          <t>wdw/2025/dining-with-disney/beaches-and-cream-soda-shop</t>
        </is>
      </c>
    </row>
    <row r="784">
      <c r="A784" t="inlineStr">
        <is>
          <t>PHS-0262</t>
        </is>
      </c>
      <c r="B784" t="n">
        <v>3</v>
      </c>
      <c r="C784" t="inlineStr"/>
      <c r="D784" t="inlineStr">
        <is>
          <t>Dining with Disney - Boma</t>
        </is>
      </c>
      <c r="E784" t="inlineStr"/>
      <c r="F784" t="n">
        <v>2500</v>
      </c>
      <c r="G784" t="inlineStr">
        <is>
          <t>N</t>
        </is>
      </c>
      <c r="H784" t="inlineStr"/>
      <c r="I784" t="inlineStr">
        <is>
          <t>none</t>
        </is>
      </c>
      <c r="J784" t="inlineStr">
        <is>
          <t>candidate</t>
        </is>
      </c>
      <c r="K784" t="inlineStr">
        <is>
          <t>Medium</t>
        </is>
      </c>
      <c r="L784" t="inlineStr">
        <is>
          <t>wdw/2025/dining-with-disney/boma</t>
        </is>
      </c>
    </row>
    <row r="785">
      <c r="A785" t="inlineStr">
        <is>
          <t>PHS-0262</t>
        </is>
      </c>
      <c r="B785" t="n">
        <v>4</v>
      </c>
      <c r="C785" t="inlineStr">
        <is>
          <t>Casey</t>
        </is>
      </c>
      <c r="D785" t="inlineStr">
        <is>
          <t>Dining with Disney - Casey's Corner</t>
        </is>
      </c>
      <c r="E785" t="inlineStr"/>
      <c r="F785" t="n">
        <v>2500</v>
      </c>
      <c r="G785" t="inlineStr">
        <is>
          <t>N</t>
        </is>
      </c>
      <c r="H785" t="inlineStr"/>
      <c r="I785" t="inlineStr">
        <is>
          <t>none</t>
        </is>
      </c>
      <c r="J785" t="inlineStr">
        <is>
          <t>candidate</t>
        </is>
      </c>
      <c r="K785" t="inlineStr">
        <is>
          <t>Medium</t>
        </is>
      </c>
      <c r="L785" t="inlineStr">
        <is>
          <t>wdw/2025/dining-with-disney/caseys-corner</t>
        </is>
      </c>
    </row>
    <row r="786">
      <c r="A786" t="inlineStr">
        <is>
          <t>PHS-0262</t>
        </is>
      </c>
      <c r="B786" t="n">
        <v>5</v>
      </c>
      <c r="C786" t="inlineStr"/>
      <c r="D786" t="inlineStr">
        <is>
          <t>Dining with Disney - Chef Mickey's</t>
        </is>
      </c>
      <c r="E786" t="inlineStr"/>
      <c r="F786" t="n">
        <v>2500</v>
      </c>
      <c r="G786" t="inlineStr">
        <is>
          <t>N</t>
        </is>
      </c>
      <c r="H786" t="inlineStr"/>
      <c r="I786" t="inlineStr">
        <is>
          <t>none</t>
        </is>
      </c>
      <c r="J786" t="inlineStr">
        <is>
          <t>candidate</t>
        </is>
      </c>
      <c r="K786" t="inlineStr">
        <is>
          <t>Medium</t>
        </is>
      </c>
      <c r="L786" t="inlineStr">
        <is>
          <t>wdw/2025/dining-with-disney/chef-mickeys</t>
        </is>
      </c>
    </row>
    <row r="787">
      <c r="A787" t="inlineStr">
        <is>
          <t>PHS-0262</t>
        </is>
      </c>
      <c r="B787" t="n">
        <v>6</v>
      </c>
      <c r="C787" t="inlineStr"/>
      <c r="D787" t="inlineStr">
        <is>
          <t>Dining with Disney - Cheshire Cafe</t>
        </is>
      </c>
      <c r="E787" t="inlineStr"/>
      <c r="F787" t="n">
        <v>2500</v>
      </c>
      <c r="G787" t="inlineStr">
        <is>
          <t>N</t>
        </is>
      </c>
      <c r="H787" t="inlineStr"/>
      <c r="I787" t="inlineStr">
        <is>
          <t>none</t>
        </is>
      </c>
      <c r="J787" t="inlineStr">
        <is>
          <t>candidate</t>
        </is>
      </c>
      <c r="K787" t="inlineStr">
        <is>
          <t>Medium</t>
        </is>
      </c>
      <c r="L787" t="inlineStr">
        <is>
          <t>wdw/2025/dining-with-disney/cheshire-cafe</t>
        </is>
      </c>
    </row>
    <row r="788">
      <c r="A788" t="inlineStr">
        <is>
          <t>PHS-0262</t>
        </is>
      </c>
      <c r="B788" t="n">
        <v>7</v>
      </c>
      <c r="C788" t="inlineStr">
        <is>
          <t>Chip; Dale</t>
        </is>
      </c>
      <c r="D788" t="inlineStr">
        <is>
          <t>Dining with Disney - Garden Grill Restaurant</t>
        </is>
      </c>
      <c r="E788" t="inlineStr"/>
      <c r="F788" t="n">
        <v>2500</v>
      </c>
      <c r="G788" t="inlineStr">
        <is>
          <t>N</t>
        </is>
      </c>
      <c r="H788" t="inlineStr"/>
      <c r="I788" t="inlineStr">
        <is>
          <t>none</t>
        </is>
      </c>
      <c r="J788" t="inlineStr">
        <is>
          <t>candidate</t>
        </is>
      </c>
      <c r="K788" t="inlineStr">
        <is>
          <t>Medium</t>
        </is>
      </c>
      <c r="L788" t="inlineStr">
        <is>
          <t>wdw/2025/dining-with-disney/garden-grill-restaurant</t>
        </is>
      </c>
    </row>
    <row r="789">
      <c r="A789" t="inlineStr">
        <is>
          <t>PHS-0262</t>
        </is>
      </c>
      <c r="B789" t="n">
        <v>8</v>
      </c>
      <c r="C789" t="inlineStr"/>
      <c r="D789" t="inlineStr">
        <is>
          <t>Dining with Disney - 'Ohana</t>
        </is>
      </c>
      <c r="E789" t="inlineStr"/>
      <c r="F789" t="n">
        <v>2500</v>
      </c>
      <c r="G789" t="inlineStr">
        <is>
          <t>N</t>
        </is>
      </c>
      <c r="H789" t="inlineStr"/>
      <c r="I789" t="inlineStr">
        <is>
          <t>none</t>
        </is>
      </c>
      <c r="J789" t="inlineStr">
        <is>
          <t>candidate</t>
        </is>
      </c>
      <c r="K789" t="inlineStr">
        <is>
          <t>Medium</t>
        </is>
      </c>
      <c r="L789" t="inlineStr">
        <is>
          <t>wdw/2025/dining-with-disney/ohana</t>
        </is>
      </c>
    </row>
    <row r="790">
      <c r="A790" t="inlineStr">
        <is>
          <t>PHS-0262</t>
        </is>
      </c>
      <c r="B790" t="n">
        <v>9</v>
      </c>
      <c r="C790" t="inlineStr"/>
      <c r="D790" t="inlineStr">
        <is>
          <t>Dining with Disney - PizzeRizzo</t>
        </is>
      </c>
      <c r="E790" t="inlineStr"/>
      <c r="F790" t="n">
        <v>2500</v>
      </c>
      <c r="G790" t="inlineStr">
        <is>
          <t>N</t>
        </is>
      </c>
      <c r="H790" t="inlineStr"/>
      <c r="I790" t="inlineStr">
        <is>
          <t>none</t>
        </is>
      </c>
      <c r="J790" t="inlineStr">
        <is>
          <t>candidate</t>
        </is>
      </c>
      <c r="K790" t="inlineStr">
        <is>
          <t>Medium</t>
        </is>
      </c>
      <c r="L790" t="inlineStr">
        <is>
          <t>wdw/2025/dining-with-disney/pizzerizzo</t>
        </is>
      </c>
    </row>
    <row r="791">
      <c r="A791" t="inlineStr">
        <is>
          <t>PHS-0262</t>
        </is>
      </c>
      <c r="B791" t="n">
        <v>10</v>
      </c>
      <c r="C791" t="inlineStr"/>
      <c r="D791" t="inlineStr">
        <is>
          <t>Dining with Disney - Regal Eagle Smokehouse</t>
        </is>
      </c>
      <c r="E791" t="inlineStr"/>
      <c r="F791" t="n">
        <v>2500</v>
      </c>
      <c r="G791" t="inlineStr">
        <is>
          <t>N</t>
        </is>
      </c>
      <c r="H791" t="inlineStr"/>
      <c r="I791" t="inlineStr">
        <is>
          <t>none</t>
        </is>
      </c>
      <c r="J791" t="inlineStr">
        <is>
          <t>candidate</t>
        </is>
      </c>
      <c r="K791" t="inlineStr">
        <is>
          <t>Low</t>
        </is>
      </c>
      <c r="L791" t="inlineStr">
        <is>
          <t>wdw/2025/dining-with-disney/regal-eagle-smokehouse</t>
        </is>
      </c>
    </row>
    <row r="792">
      <c r="A792" t="inlineStr">
        <is>
          <t>PHS-0262</t>
        </is>
      </c>
      <c r="B792" t="n">
        <v>11</v>
      </c>
      <c r="C792" t="inlineStr"/>
      <c r="D792" t="inlineStr">
        <is>
          <t>Dining with Disney - Roundup Rodeo BBQ</t>
        </is>
      </c>
      <c r="E792" t="inlineStr"/>
      <c r="F792" t="n">
        <v>2500</v>
      </c>
      <c r="G792" t="inlineStr">
        <is>
          <t>N</t>
        </is>
      </c>
      <c r="H792" t="inlineStr"/>
      <c r="I792" t="inlineStr">
        <is>
          <t>none</t>
        </is>
      </c>
      <c r="J792" t="inlineStr">
        <is>
          <t>candidate</t>
        </is>
      </c>
      <c r="K792" t="inlineStr">
        <is>
          <t>Medium</t>
        </is>
      </c>
      <c r="L792" t="inlineStr">
        <is>
          <t>wdw/2025/dining-with-disney/roundup-rodeo-bbq</t>
        </is>
      </c>
    </row>
    <row r="793">
      <c r="A793" t="inlineStr">
        <is>
          <t>PHS-0262</t>
        </is>
      </c>
      <c r="B793" t="n">
        <v>12</v>
      </c>
      <c r="C793" t="inlineStr">
        <is>
          <t>Donald Duck</t>
        </is>
      </c>
      <c r="D793" t="inlineStr">
        <is>
          <t>Dining with Disney - Sci-Fi Dine-In Theater Restaurant</t>
        </is>
      </c>
      <c r="E793" t="inlineStr"/>
      <c r="F793" t="n">
        <v>2500</v>
      </c>
      <c r="G793" t="inlineStr">
        <is>
          <t>N</t>
        </is>
      </c>
      <c r="H793" t="inlineStr"/>
      <c r="I793" t="inlineStr">
        <is>
          <t>none</t>
        </is>
      </c>
      <c r="J793" t="inlineStr">
        <is>
          <t>candidate</t>
        </is>
      </c>
      <c r="K793" t="inlineStr">
        <is>
          <t>Medium</t>
        </is>
      </c>
      <c r="L793" t="inlineStr">
        <is>
          <t>wdw/2025/dining-with-disney/sci-fi-dine-in-theater-restaurant</t>
        </is>
      </c>
    </row>
    <row r="794">
      <c r="A794" t="inlineStr">
        <is>
          <t>PHS-0263</t>
        </is>
      </c>
      <c r="B794" t="n">
        <v>1</v>
      </c>
      <c r="C794" t="inlineStr">
        <is>
          <t>Captain Hook</t>
        </is>
      </c>
      <c r="D794" t="inlineStr">
        <is>
          <t>Captain Hook – Inkwells of Evil</t>
        </is>
      </c>
      <c r="E794" t="inlineStr"/>
      <c r="F794" t="n">
        <v>4000</v>
      </c>
      <c r="G794" t="inlineStr">
        <is>
          <t>N</t>
        </is>
      </c>
      <c r="H794" t="inlineStr"/>
      <c r="I794" t="inlineStr">
        <is>
          <t>none</t>
        </is>
      </c>
      <c r="J794" t="inlineStr">
        <is>
          <t>candidate</t>
        </is>
      </c>
      <c r="K794" t="inlineStr">
        <is>
          <t>Low</t>
        </is>
      </c>
      <c r="L794" t="inlineStr">
        <is>
          <t>wdw/2025/inkwells-of-evil/captain-hook</t>
        </is>
      </c>
    </row>
    <row r="795">
      <c r="A795" t="inlineStr">
        <is>
          <t>PHS-0263</t>
        </is>
      </c>
      <c r="B795" t="n">
        <v>2</v>
      </c>
      <c r="C795" t="inlineStr">
        <is>
          <t>Chernabog</t>
        </is>
      </c>
      <c r="D795" t="inlineStr">
        <is>
          <t>Chernabog – Inkwells of Evil</t>
        </is>
      </c>
      <c r="E795" t="inlineStr"/>
      <c r="F795" t="n">
        <v>4000</v>
      </c>
      <c r="G795" t="inlineStr">
        <is>
          <t>N</t>
        </is>
      </c>
      <c r="H795" t="inlineStr"/>
      <c r="I795" t="inlineStr">
        <is>
          <t>none</t>
        </is>
      </c>
      <c r="J795" t="inlineStr">
        <is>
          <t>candidate</t>
        </is>
      </c>
      <c r="K795" t="inlineStr">
        <is>
          <t>Low</t>
        </is>
      </c>
      <c r="L795" t="inlineStr">
        <is>
          <t>wdw/2025/inkwells-of-evil/chernabog</t>
        </is>
      </c>
    </row>
    <row r="796">
      <c r="A796" t="inlineStr">
        <is>
          <t>PHS-0263</t>
        </is>
      </c>
      <c r="B796" t="n">
        <v>3</v>
      </c>
      <c r="C796" t="inlineStr">
        <is>
          <t>Cruella de Vil</t>
        </is>
      </c>
      <c r="D796" t="inlineStr">
        <is>
          <t>Cruella de Vil – Inkwells of Evil</t>
        </is>
      </c>
      <c r="E796" t="inlineStr"/>
      <c r="F796" t="n">
        <v>4000</v>
      </c>
      <c r="G796" t="inlineStr">
        <is>
          <t>N</t>
        </is>
      </c>
      <c r="H796" t="inlineStr"/>
      <c r="I796" t="inlineStr">
        <is>
          <t>none</t>
        </is>
      </c>
      <c r="J796" t="inlineStr">
        <is>
          <t>candidate</t>
        </is>
      </c>
      <c r="K796" t="inlineStr">
        <is>
          <t>Medium</t>
        </is>
      </c>
      <c r="L796" t="inlineStr">
        <is>
          <t>wdw/2025/inkwells-of-evil/cruella</t>
        </is>
      </c>
    </row>
    <row r="797">
      <c r="A797" t="inlineStr">
        <is>
          <t>PHS-0263</t>
        </is>
      </c>
      <c r="B797" t="n">
        <v>4</v>
      </c>
      <c r="C797" t="inlineStr">
        <is>
          <t>Hades</t>
        </is>
      </c>
      <c r="D797" t="inlineStr">
        <is>
          <t>Hades – Inkwells of Evil</t>
        </is>
      </c>
      <c r="E797" t="inlineStr"/>
      <c r="F797" t="n">
        <v>4000</v>
      </c>
      <c r="G797" t="inlineStr">
        <is>
          <t>N</t>
        </is>
      </c>
      <c r="H797" t="inlineStr"/>
      <c r="I797" t="inlineStr">
        <is>
          <t>none</t>
        </is>
      </c>
      <c r="J797" t="inlineStr">
        <is>
          <t>candidate</t>
        </is>
      </c>
      <c r="K797" t="inlineStr">
        <is>
          <t>Medium</t>
        </is>
      </c>
      <c r="L797" t="inlineStr">
        <is>
          <t>wdw/2025/inkwells-of-evil/hades</t>
        </is>
      </c>
    </row>
    <row r="798">
      <c r="A798" t="inlineStr">
        <is>
          <t>PHS-0263</t>
        </is>
      </c>
      <c r="B798" t="n">
        <v>5</v>
      </c>
      <c r="C798" t="inlineStr">
        <is>
          <t>Jafar</t>
        </is>
      </c>
      <c r="D798" t="inlineStr">
        <is>
          <t>Jafar – Inkwells of Evil</t>
        </is>
      </c>
      <c r="E798" t="inlineStr"/>
      <c r="F798" t="n">
        <v>4000</v>
      </c>
      <c r="G798" t="inlineStr">
        <is>
          <t>N</t>
        </is>
      </c>
      <c r="H798" t="inlineStr"/>
      <c r="I798" t="inlineStr">
        <is>
          <t>none</t>
        </is>
      </c>
      <c r="J798" t="inlineStr">
        <is>
          <t>candidate</t>
        </is>
      </c>
      <c r="K798" t="inlineStr">
        <is>
          <t>Medium</t>
        </is>
      </c>
      <c r="L798" t="inlineStr">
        <is>
          <t>wdw/2025/inkwells-of-evil/jafar</t>
        </is>
      </c>
    </row>
    <row r="799">
      <c r="A799" t="inlineStr">
        <is>
          <t>PHS-0263</t>
        </is>
      </c>
      <c r="B799" t="n">
        <v>6</v>
      </c>
      <c r="C799" t="inlineStr">
        <is>
          <t>Maleficent</t>
        </is>
      </c>
      <c r="D799" t="inlineStr">
        <is>
          <t>Maleficent – Inkwells of Evil</t>
        </is>
      </c>
      <c r="E799" t="inlineStr"/>
      <c r="F799" t="n">
        <v>4000</v>
      </c>
      <c r="G799" t="inlineStr">
        <is>
          <t>N</t>
        </is>
      </c>
      <c r="H799" t="inlineStr"/>
      <c r="I799" t="inlineStr">
        <is>
          <t>none</t>
        </is>
      </c>
      <c r="J799" t="inlineStr">
        <is>
          <t>candidate</t>
        </is>
      </c>
      <c r="K799" t="inlineStr">
        <is>
          <t>Low</t>
        </is>
      </c>
      <c r="L799" t="inlineStr">
        <is>
          <t>wdw/2025/inkwells-of-evil/maleficent</t>
        </is>
      </c>
    </row>
    <row r="800">
      <c r="A800" t="inlineStr">
        <is>
          <t>PHS-0263</t>
        </is>
      </c>
      <c r="B800" t="n">
        <v>7</v>
      </c>
      <c r="C800" t="inlineStr">
        <is>
          <t>Old Hag; Old Hag (Evil Queen)</t>
        </is>
      </c>
      <c r="D800" t="inlineStr">
        <is>
          <t>Inkwells of Evil - Old Hag</t>
        </is>
      </c>
      <c r="E800" t="inlineStr"/>
      <c r="F800" t="n">
        <v>4000</v>
      </c>
      <c r="G800" t="inlineStr">
        <is>
          <t>N</t>
        </is>
      </c>
      <c r="H800" t="inlineStr"/>
      <c r="I800" t="inlineStr">
        <is>
          <t>none</t>
        </is>
      </c>
      <c r="J800" t="inlineStr">
        <is>
          <t>candidate</t>
        </is>
      </c>
      <c r="K800" t="inlineStr">
        <is>
          <t>Medium</t>
        </is>
      </c>
      <c r="L800" t="inlineStr">
        <is>
          <t>wdw/2025/inkwells-of-evil/old-hag</t>
        </is>
      </c>
    </row>
    <row r="801">
      <c r="A801" t="inlineStr">
        <is>
          <t>PHS-0263</t>
        </is>
      </c>
      <c r="B801" t="n">
        <v>8</v>
      </c>
      <c r="C801" t="inlineStr">
        <is>
          <t>Queen of Hearts</t>
        </is>
      </c>
      <c r="D801" t="inlineStr">
        <is>
          <t>Queen of Hearts – Inkwells of Evil</t>
        </is>
      </c>
      <c r="E801" t="inlineStr"/>
      <c r="F801" t="n">
        <v>4000</v>
      </c>
      <c r="G801" t="inlineStr">
        <is>
          <t>N</t>
        </is>
      </c>
      <c r="H801" t="inlineStr"/>
      <c r="I801" t="inlineStr">
        <is>
          <t>none</t>
        </is>
      </c>
      <c r="J801" t="inlineStr">
        <is>
          <t>candidate</t>
        </is>
      </c>
      <c r="K801" t="inlineStr">
        <is>
          <t>Low</t>
        </is>
      </c>
      <c r="L801" t="inlineStr">
        <is>
          <t>wdw/2025/inkwells-of-evil/queen-of-hearts</t>
        </is>
      </c>
    </row>
    <row r="802">
      <c r="A802" t="inlineStr">
        <is>
          <t>PHS-0263</t>
        </is>
      </c>
      <c r="B802" t="n">
        <v>9</v>
      </c>
      <c r="C802" t="inlineStr">
        <is>
          <t>Scar</t>
        </is>
      </c>
      <c r="D802" t="inlineStr">
        <is>
          <t>Scar – Inkwells of Evil</t>
        </is>
      </c>
      <c r="E802" t="inlineStr"/>
      <c r="F802" t="n">
        <v>4000</v>
      </c>
      <c r="G802" t="inlineStr">
        <is>
          <t>N</t>
        </is>
      </c>
      <c r="H802" t="inlineStr"/>
      <c r="I802" t="inlineStr">
        <is>
          <t>none</t>
        </is>
      </c>
      <c r="J802" t="inlineStr">
        <is>
          <t>candidate</t>
        </is>
      </c>
      <c r="K802" t="inlineStr">
        <is>
          <t>Medium</t>
        </is>
      </c>
      <c r="L802" t="inlineStr">
        <is>
          <t>wdw/2025/inkwells-of-evil/scar</t>
        </is>
      </c>
    </row>
    <row r="803">
      <c r="A803" t="inlineStr">
        <is>
          <t>PHS-0263</t>
        </is>
      </c>
      <c r="B803" t="n">
        <v>10</v>
      </c>
      <c r="C803" t="inlineStr">
        <is>
          <t>Ursula</t>
        </is>
      </c>
      <c r="D803" t="inlineStr">
        <is>
          <t>Ursula – Inkwells of Evil</t>
        </is>
      </c>
      <c r="E803" t="inlineStr"/>
      <c r="F803" t="n">
        <v>4000</v>
      </c>
      <c r="G803" t="inlineStr">
        <is>
          <t>N</t>
        </is>
      </c>
      <c r="H803" t="inlineStr"/>
      <c r="I803" t="inlineStr">
        <is>
          <t>none</t>
        </is>
      </c>
      <c r="J803" t="inlineStr">
        <is>
          <t>candidate</t>
        </is>
      </c>
      <c r="K803" t="inlineStr">
        <is>
          <t>Low</t>
        </is>
      </c>
      <c r="L803" t="inlineStr">
        <is>
          <t>wdw/2025/inkwells-of-evil/ursula</t>
        </is>
      </c>
    </row>
    <row r="804">
      <c r="A804" t="inlineStr">
        <is>
          <t>PHS-0263</t>
        </is>
      </c>
      <c r="B804" t="n">
        <v>11</v>
      </c>
      <c r="C804" t="inlineStr">
        <is>
          <t>Yzma</t>
        </is>
      </c>
      <c r="D804" t="inlineStr">
        <is>
          <t>Yzma – Inkwells of Evil</t>
        </is>
      </c>
      <c r="E804" t="inlineStr"/>
      <c r="F804" t="n">
        <v>4000</v>
      </c>
      <c r="G804" t="inlineStr">
        <is>
          <t>N</t>
        </is>
      </c>
      <c r="H804" t="inlineStr"/>
      <c r="I804" t="inlineStr">
        <is>
          <t>none</t>
        </is>
      </c>
      <c r="J804" t="inlineStr">
        <is>
          <t>candidate</t>
        </is>
      </c>
      <c r="K804" t="inlineStr">
        <is>
          <t>Low</t>
        </is>
      </c>
      <c r="L804" t="inlineStr">
        <is>
          <t>wdw/2025/inkwells-of-evil/yzma</t>
        </is>
      </c>
    </row>
    <row r="805">
      <c r="A805" t="inlineStr">
        <is>
          <t>PHS-0264</t>
        </is>
      </c>
      <c r="B805" t="n">
        <v>1</v>
      </c>
      <c r="C805" t="inlineStr">
        <is>
          <t>Goofy; Lester; Max</t>
        </is>
      </c>
      <c r="D805" t="inlineStr">
        <is>
          <t>A Goofy Movie 30th Anniversary Pin</t>
        </is>
      </c>
      <c r="E805" t="inlineStr"/>
      <c r="F805" t="n">
        <v>4000</v>
      </c>
      <c r="G805" t="inlineStr">
        <is>
          <t>N</t>
        </is>
      </c>
      <c r="H805" t="inlineStr"/>
      <c r="I805" t="inlineStr">
        <is>
          <t>none</t>
        </is>
      </c>
      <c r="J805" t="inlineStr">
        <is>
          <t>candidate</t>
        </is>
      </c>
      <c r="K805" t="inlineStr">
        <is>
          <t>Medium</t>
        </is>
      </c>
      <c r="L805" t="inlineStr">
        <is>
          <t>wdw/2025/a-goofy-movie-30th-le/goofy-max-lester</t>
        </is>
      </c>
    </row>
    <row r="806">
      <c r="A806" t="inlineStr">
        <is>
          <t>PHS-0265</t>
        </is>
      </c>
      <c r="B806" t="n">
        <v>1</v>
      </c>
      <c r="C806" t="inlineStr">
        <is>
          <t>Mickey Mouse</t>
        </is>
      </c>
      <c r="D806" t="inlineStr">
        <is>
          <t>Eggstravaganza 2025 Pin</t>
        </is>
      </c>
      <c r="E806" t="inlineStr"/>
      <c r="F806" t="n">
        <v>5000</v>
      </c>
      <c r="G806" t="inlineStr">
        <is>
          <t>N</t>
        </is>
      </c>
      <c r="H806" t="inlineStr"/>
      <c r="I806" t="inlineStr">
        <is>
          <t>none</t>
        </is>
      </c>
      <c r="J806" t="inlineStr">
        <is>
          <t>candidate</t>
        </is>
      </c>
      <c r="K806" t="inlineStr">
        <is>
          <t>Low</t>
        </is>
      </c>
      <c r="L806" t="inlineStr">
        <is>
          <t>wdw/2025/eggstravaganza-2025-le/mickey-easter-egg</t>
        </is>
      </c>
    </row>
    <row r="807">
      <c r="A807" t="inlineStr">
        <is>
          <t>PHS-0266</t>
        </is>
      </c>
      <c r="B807" t="n">
        <v>1</v>
      </c>
      <c r="C807" t="inlineStr">
        <is>
          <t>Ariel; Flounder</t>
        </is>
      </c>
      <c r="D807" t="inlineStr">
        <is>
          <t>Wondrous Worlds Ariel pin</t>
        </is>
      </c>
      <c r="E807" t="inlineStr"/>
      <c r="F807" t="n">
        <v>1500</v>
      </c>
      <c r="G807" t="inlineStr">
        <is>
          <t>N</t>
        </is>
      </c>
      <c r="H807" t="inlineStr"/>
      <c r="I807" t="inlineStr">
        <is>
          <t>none</t>
        </is>
      </c>
      <c r="J807" t="inlineStr">
        <is>
          <t>candidate</t>
        </is>
      </c>
      <c r="K807" t="inlineStr">
        <is>
          <t>Medium</t>
        </is>
      </c>
      <c r="L807" t="inlineStr">
        <is>
          <t>wdw/2025/the-little-mermaid-wondrous-worlds-le/ariel</t>
        </is>
      </c>
    </row>
    <row r="808">
      <c r="A808" t="inlineStr">
        <is>
          <t>PHS-0267</t>
        </is>
      </c>
      <c r="B808" t="n">
        <v>1</v>
      </c>
      <c r="C808" t="inlineStr">
        <is>
          <t>Cinderella; Prince Charming</t>
        </is>
      </c>
      <c r="D808" t="inlineStr">
        <is>
          <t>Cinderella and Prince Charming attendee pin</t>
        </is>
      </c>
      <c r="E808" t="inlineStr"/>
      <c r="F808" t="n">
        <v>500</v>
      </c>
      <c r="G808" t="inlineStr">
        <is>
          <t>N</t>
        </is>
      </c>
      <c r="H808" t="inlineStr"/>
      <c r="I808" t="inlineStr">
        <is>
          <t>none</t>
        </is>
      </c>
      <c r="J808" t="inlineStr">
        <is>
          <t>candidate</t>
        </is>
      </c>
      <c r="K808" t="inlineStr">
        <is>
          <t>Low</t>
        </is>
      </c>
      <c r="L808" t="inlineStr">
        <is>
          <t>wdw/2025/spring-2025-pin-trading-night/cinderella-prince-charming</t>
        </is>
      </c>
    </row>
    <row r="809">
      <c r="A809" t="inlineStr">
        <is>
          <t>PHS-0267</t>
        </is>
      </c>
      <c r="B809" t="n">
        <v>2</v>
      </c>
      <c r="C809" t="inlineStr">
        <is>
          <t>Dumbo</t>
        </is>
      </c>
      <c r="D809" t="inlineStr">
        <is>
          <t>Dumbo attendee pin</t>
        </is>
      </c>
      <c r="E809" t="inlineStr"/>
      <c r="F809" t="n">
        <v>500</v>
      </c>
      <c r="G809" t="inlineStr">
        <is>
          <t>N</t>
        </is>
      </c>
      <c r="H809" t="inlineStr"/>
      <c r="I809" t="inlineStr">
        <is>
          <t>none</t>
        </is>
      </c>
      <c r="J809" t="inlineStr">
        <is>
          <t>candidate</t>
        </is>
      </c>
      <c r="K809" t="inlineStr">
        <is>
          <t>Low</t>
        </is>
      </c>
      <c r="L809" t="inlineStr">
        <is>
          <t>wdw/2025/spring-2025-pin-trading-night/dumbo</t>
        </is>
      </c>
    </row>
    <row r="810">
      <c r="A810" t="inlineStr">
        <is>
          <t>PHS-0267</t>
        </is>
      </c>
      <c r="B810" t="n">
        <v>3</v>
      </c>
      <c r="C810" t="inlineStr">
        <is>
          <t>Pocahontas</t>
        </is>
      </c>
      <c r="D810" t="inlineStr">
        <is>
          <t>Pocahontas 30th Anniversary - Pocahontas &amp; animal friends</t>
        </is>
      </c>
      <c r="E810" t="inlineStr"/>
      <c r="F810" t="n">
        <v>4000</v>
      </c>
      <c r="G810" t="inlineStr">
        <is>
          <t>N</t>
        </is>
      </c>
      <c r="H810" t="inlineStr"/>
      <c r="I810" t="inlineStr">
        <is>
          <t>none</t>
        </is>
      </c>
      <c r="J810" t="inlineStr">
        <is>
          <t>candidate</t>
        </is>
      </c>
      <c r="K810" t="inlineStr">
        <is>
          <t>Low</t>
        </is>
      </c>
      <c r="L810" t="inlineStr">
        <is>
          <t>wdw/2025/spring-2025-pin-trading-night/pocahontas-animal-friends</t>
        </is>
      </c>
    </row>
    <row r="811">
      <c r="A811" t="inlineStr">
        <is>
          <t>PHS-0267</t>
        </is>
      </c>
      <c r="B811" t="n">
        <v>4</v>
      </c>
      <c r="C811" t="inlineStr">
        <is>
          <t>John Smith; Pocahontas</t>
        </is>
      </c>
      <c r="D811" t="inlineStr">
        <is>
          <t>Pocahontas 30th Anniversary - Pocahontas &amp; John Smith</t>
        </is>
      </c>
      <c r="E811" t="inlineStr"/>
      <c r="F811" t="n">
        <v>2000</v>
      </c>
      <c r="G811" t="inlineStr">
        <is>
          <t>N</t>
        </is>
      </c>
      <c r="H811" t="inlineStr"/>
      <c r="I811" t="inlineStr">
        <is>
          <t>none</t>
        </is>
      </c>
      <c r="J811" t="inlineStr">
        <is>
          <t>candidate</t>
        </is>
      </c>
      <c r="K811" t="inlineStr">
        <is>
          <t>Medium</t>
        </is>
      </c>
      <c r="L811" t="inlineStr">
        <is>
          <t>wdw/2025/spring-2025-pin-trading-night/pocahontas-john-smith</t>
        </is>
      </c>
    </row>
    <row r="812">
      <c r="A812" t="inlineStr">
        <is>
          <t>PHS-0267</t>
        </is>
      </c>
      <c r="B812" t="n">
        <v>5</v>
      </c>
      <c r="C812" t="inlineStr">
        <is>
          <t>Stitch</t>
        </is>
      </c>
      <c r="D812" t="inlineStr">
        <is>
          <t>Stitch 626 mini jumbo</t>
        </is>
      </c>
      <c r="E812" t="inlineStr"/>
      <c r="F812" t="n">
        <v>2000</v>
      </c>
      <c r="G812" t="inlineStr">
        <is>
          <t>N</t>
        </is>
      </c>
      <c r="H812" t="inlineStr"/>
      <c r="I812" t="inlineStr">
        <is>
          <t>none</t>
        </is>
      </c>
      <c r="J812" t="inlineStr">
        <is>
          <t>candidate</t>
        </is>
      </c>
      <c r="K812" t="inlineStr">
        <is>
          <t>Low</t>
        </is>
      </c>
      <c r="L812" t="inlineStr">
        <is>
          <t>wdw/2025/spring-2025-pin-trading-night/stitch-626-mini-jumbo</t>
        </is>
      </c>
    </row>
    <row r="813">
      <c r="A813" t="inlineStr">
        <is>
          <t>PHS-0267</t>
        </is>
      </c>
      <c r="B813" t="n">
        <v>6</v>
      </c>
      <c r="C813" t="inlineStr">
        <is>
          <t>Stitch</t>
        </is>
      </c>
      <c r="D813" t="inlineStr">
        <is>
          <t>Stitch 626 pin</t>
        </is>
      </c>
      <c r="E813" t="inlineStr"/>
      <c r="F813" t="n">
        <v>4000</v>
      </c>
      <c r="G813" t="inlineStr">
        <is>
          <t>N</t>
        </is>
      </c>
      <c r="H813" t="inlineStr"/>
      <c r="I813" t="inlineStr">
        <is>
          <t>none</t>
        </is>
      </c>
      <c r="J813" t="inlineStr">
        <is>
          <t>candidate</t>
        </is>
      </c>
      <c r="K813" t="inlineStr">
        <is>
          <t>Low</t>
        </is>
      </c>
      <c r="L813" t="inlineStr">
        <is>
          <t>wdw/2025/spring-2025-pin-trading-night/stitch-626-pin</t>
        </is>
      </c>
    </row>
    <row r="814">
      <c r="A814" t="inlineStr">
        <is>
          <t>PHS-0267</t>
        </is>
      </c>
      <c r="B814" t="n">
        <v>7</v>
      </c>
      <c r="C814" t="inlineStr"/>
      <c r="D814" t="inlineStr">
        <is>
          <t>Toy Story 3 15th Anniversary pin</t>
        </is>
      </c>
      <c r="E814" t="inlineStr"/>
      <c r="F814" t="n">
        <v>2000</v>
      </c>
      <c r="G814" t="inlineStr">
        <is>
          <t>N</t>
        </is>
      </c>
      <c r="H814" t="inlineStr"/>
      <c r="I814" t="inlineStr">
        <is>
          <t>none</t>
        </is>
      </c>
      <c r="J814" t="inlineStr">
        <is>
          <t>candidate</t>
        </is>
      </c>
      <c r="K814" t="inlineStr">
        <is>
          <t>Low</t>
        </is>
      </c>
      <c r="L814" t="inlineStr">
        <is>
          <t>wdw/2025/spring-2025-pin-trading-night/toy-story-3-15th</t>
        </is>
      </c>
    </row>
    <row r="815">
      <c r="A815" t="inlineStr">
        <is>
          <t>PHS-0268</t>
        </is>
      </c>
      <c r="B815" t="n">
        <v>1</v>
      </c>
      <c r="C815" t="inlineStr">
        <is>
          <t>Tiana</t>
        </is>
      </c>
      <c r="D815" t="inlineStr">
        <is>
          <t>Tiana's Sweet Treats pin</t>
        </is>
      </c>
      <c r="E815" t="inlineStr"/>
      <c r="F815" t="inlineStr"/>
      <c r="G815" t="inlineStr">
        <is>
          <t>N</t>
        </is>
      </c>
      <c r="H815" t="inlineStr"/>
      <c r="I815" t="inlineStr">
        <is>
          <t>none</t>
        </is>
      </c>
      <c r="J815" t="inlineStr">
        <is>
          <t>candidate</t>
        </is>
      </c>
      <c r="K815" t="inlineStr">
        <is>
          <t>Medium</t>
        </is>
      </c>
      <c r="L815" t="inlineStr">
        <is>
          <t>wdw/2025/tiana-sweet-treat-day-2025-lr/tiana</t>
        </is>
      </c>
    </row>
    <row r="816">
      <c r="A816" t="inlineStr">
        <is>
          <t>PHS-0269</t>
        </is>
      </c>
      <c r="B816" t="n">
        <v>1</v>
      </c>
      <c r="C816" t="inlineStr">
        <is>
          <t>Genie</t>
        </is>
      </c>
      <c r="D816" t="inlineStr">
        <is>
          <t>Genie Medal pin</t>
        </is>
      </c>
      <c r="E816" t="inlineStr"/>
      <c r="F816" t="n">
        <v>4000</v>
      </c>
      <c r="G816" t="inlineStr">
        <is>
          <t>N</t>
        </is>
      </c>
      <c r="H816" t="inlineStr"/>
      <c r="I816" t="inlineStr">
        <is>
          <t>none</t>
        </is>
      </c>
      <c r="J816" t="inlineStr">
        <is>
          <t>candidate</t>
        </is>
      </c>
      <c r="K816" t="inlineStr">
        <is>
          <t>Low</t>
        </is>
      </c>
      <c r="L816" t="inlineStr">
        <is>
          <t>wdw/2025/genie-medal-25-years-pins-le/genie-medal</t>
        </is>
      </c>
    </row>
    <row r="817">
      <c r="A817" t="inlineStr">
        <is>
          <t>PHS-0270</t>
        </is>
      </c>
      <c r="B817" t="n">
        <v>1</v>
      </c>
      <c r="C817" t="inlineStr">
        <is>
          <t>Rapunzel</t>
        </is>
      </c>
      <c r="D817" t="inlineStr">
        <is>
          <t>Tangled 15th Anniversary Snuggly Duckling Pin</t>
        </is>
      </c>
      <c r="E817" t="inlineStr"/>
      <c r="F817" t="n">
        <v>4000</v>
      </c>
      <c r="G817" t="inlineStr">
        <is>
          <t>N</t>
        </is>
      </c>
      <c r="H817" t="inlineStr"/>
      <c r="I817" t="inlineStr">
        <is>
          <t>none</t>
        </is>
      </c>
      <c r="J817" t="inlineStr">
        <is>
          <t>candidate</t>
        </is>
      </c>
      <c r="K817" t="inlineStr">
        <is>
          <t>Low</t>
        </is>
      </c>
      <c r="L817" t="inlineStr">
        <is>
          <t>wdw/2025/tangled-15th-snuggly-duckling-le/rapunzel-snuggly-duckling</t>
        </is>
      </c>
    </row>
    <row r="818">
      <c r="A818" t="inlineStr">
        <is>
          <t>PHS-0271</t>
        </is>
      </c>
      <c r="B818" t="n">
        <v>1</v>
      </c>
      <c r="C818" t="inlineStr"/>
      <c r="D818" t="inlineStr">
        <is>
          <t>Pin Trading 25th Anniversary Mini Jumbo</t>
        </is>
      </c>
      <c r="E818" t="inlineStr"/>
      <c r="F818" t="n">
        <v>1500</v>
      </c>
      <c r="G818" t="inlineStr">
        <is>
          <t>N</t>
        </is>
      </c>
      <c r="H818" t="inlineStr"/>
      <c r="I818" t="inlineStr">
        <is>
          <t>none</t>
        </is>
      </c>
      <c r="J818" t="inlineStr">
        <is>
          <t>candidate</t>
        </is>
      </c>
      <c r="K818" t="inlineStr">
        <is>
          <t>Low</t>
        </is>
      </c>
      <c r="L818" t="inlineStr">
        <is>
          <t>wdw/2025/pin-trading-25th-anniversary-nov-2025/mini-jumbo</t>
        </is>
      </c>
    </row>
    <row r="819">
      <c r="A819" t="inlineStr">
        <is>
          <t>PHS-0271</t>
        </is>
      </c>
      <c r="B819" t="n">
        <v>2</v>
      </c>
      <c r="C819" t="inlineStr"/>
      <c r="D819" t="inlineStr">
        <is>
          <t>Pin Trading 25th Anniversary Spinner Pin</t>
        </is>
      </c>
      <c r="E819" t="inlineStr"/>
      <c r="F819" t="inlineStr"/>
      <c r="G819" t="inlineStr">
        <is>
          <t>N</t>
        </is>
      </c>
      <c r="H819" t="inlineStr"/>
      <c r="I819" t="inlineStr">
        <is>
          <t>none</t>
        </is>
      </c>
      <c r="J819" t="inlineStr">
        <is>
          <t>candidate</t>
        </is>
      </c>
      <c r="K819" t="inlineStr">
        <is>
          <t>Low</t>
        </is>
      </c>
      <c r="L819" t="inlineStr">
        <is>
          <t>wdw/2025/pin-trading-25th-anniversary-nov-2025/spinner</t>
        </is>
      </c>
    </row>
    <row r="820">
      <c r="A820" t="inlineStr">
        <is>
          <t>PHS-0271</t>
        </is>
      </c>
      <c r="B820" t="n">
        <v>3</v>
      </c>
      <c r="C820" t="inlineStr"/>
      <c r="D820" t="inlineStr">
        <is>
          <t>Pin Trading 25th Anniversary Pin</t>
        </is>
      </c>
      <c r="E820" t="inlineStr"/>
      <c r="F820" t="inlineStr"/>
      <c r="G820" t="inlineStr">
        <is>
          <t>N</t>
        </is>
      </c>
      <c r="H820" t="inlineStr"/>
      <c r="I820" t="inlineStr">
        <is>
          <t>none</t>
        </is>
      </c>
      <c r="J820" t="inlineStr">
        <is>
          <t>candidate</t>
        </is>
      </c>
      <c r="K820" t="inlineStr">
        <is>
          <t>Low</t>
        </is>
      </c>
      <c r="L820" t="inlineStr">
        <is>
          <t>wdw/2025/pin-trading-25th-anniversary-nov-2025/standard</t>
        </is>
      </c>
    </row>
    <row r="821">
      <c r="A821" t="inlineStr">
        <is>
          <t>PHS-0272</t>
        </is>
      </c>
      <c r="B821" t="n">
        <v>1</v>
      </c>
      <c r="C821" t="inlineStr">
        <is>
          <t>Kermit the Frog; Miss Piggy</t>
        </is>
      </c>
      <c r="D821" t="inlineStr">
        <is>
          <t>Miss Piggy &amp; Kermit New Year's Eve Pin</t>
        </is>
      </c>
      <c r="E821" t="inlineStr"/>
      <c r="F821" t="n">
        <v>3000</v>
      </c>
      <c r="G821" t="inlineStr">
        <is>
          <t>N</t>
        </is>
      </c>
      <c r="H821" t="inlineStr"/>
      <c r="I821" t="inlineStr">
        <is>
          <t>none</t>
        </is>
      </c>
      <c r="J821" t="inlineStr">
        <is>
          <t>candidate</t>
        </is>
      </c>
      <c r="K821" t="inlineStr">
        <is>
          <t>Medium</t>
        </is>
      </c>
      <c r="L821" t="inlineStr">
        <is>
          <t>wdw/2025/miss-piggy-kermit-new-years-eve-le/miss-piggy-kermit</t>
        </is>
      </c>
    </row>
    <row r="822">
      <c r="A822" t="inlineStr">
        <is>
          <t>PHS-0273</t>
        </is>
      </c>
      <c r="B822" t="n">
        <v>1</v>
      </c>
      <c r="C822" t="inlineStr"/>
      <c r="D822" t="inlineStr">
        <is>
          <t>Star Wars: The Force Awakens 10th Anniversary Logo Pin</t>
        </is>
      </c>
      <c r="E822" t="inlineStr"/>
      <c r="F822" t="inlineStr"/>
      <c r="G822" t="inlineStr">
        <is>
          <t>N</t>
        </is>
      </c>
      <c r="H822" t="inlineStr"/>
      <c r="I822" t="inlineStr">
        <is>
          <t>none</t>
        </is>
      </c>
      <c r="J822" t="inlineStr">
        <is>
          <t>candidate</t>
        </is>
      </c>
      <c r="K822" t="inlineStr">
        <is>
          <t>High</t>
        </is>
      </c>
      <c r="L822" t="inlineStr">
        <is>
          <t>wdw/2025/star-wars-force-awakens-10th/logo-pin</t>
        </is>
      </c>
    </row>
    <row r="823">
      <c r="A823" t="inlineStr">
        <is>
          <t>PHS-0273</t>
        </is>
      </c>
      <c r="B823" t="n">
        <v>2</v>
      </c>
      <c r="C823" t="inlineStr">
        <is>
          <t>Kylo Ren; Rey</t>
        </is>
      </c>
      <c r="D823" t="inlineStr">
        <is>
          <t>Force Awakens 10th Anniversary Mini Jumbo</t>
        </is>
      </c>
      <c r="E823" t="inlineStr"/>
      <c r="F823" t="n">
        <v>3250</v>
      </c>
      <c r="G823" t="inlineStr">
        <is>
          <t>N</t>
        </is>
      </c>
      <c r="H823" t="inlineStr"/>
      <c r="I823" t="inlineStr">
        <is>
          <t>none</t>
        </is>
      </c>
      <c r="J823" t="inlineStr">
        <is>
          <t>candidate</t>
        </is>
      </c>
      <c r="K823" t="inlineStr">
        <is>
          <t>Medium</t>
        </is>
      </c>
      <c r="L823" t="inlineStr">
        <is>
          <t>wdw/2025/star-wars-force-awakens-10th/rey-kylo-ren-mini-jumbo</t>
        </is>
      </c>
    </row>
    <row r="824">
      <c r="A824" t="inlineStr">
        <is>
          <t>PHS-0274</t>
        </is>
      </c>
      <c r="B824" t="n">
        <v>1</v>
      </c>
      <c r="C824" t="inlineStr">
        <is>
          <t>Mickey Mouse; Minnie Mouse</t>
        </is>
      </c>
      <c r="D824" t="inlineStr">
        <is>
          <t>Lunar New Year 2026 Pin</t>
        </is>
      </c>
      <c r="E824" t="inlineStr"/>
      <c r="F824" t="n">
        <v>2000</v>
      </c>
      <c r="G824" t="inlineStr">
        <is>
          <t>N</t>
        </is>
      </c>
      <c r="H824" t="inlineStr"/>
      <c r="I824" t="inlineStr">
        <is>
          <t>none</t>
        </is>
      </c>
      <c r="J824" t="inlineStr">
        <is>
          <t>candidate</t>
        </is>
      </c>
      <c r="K824" t="inlineStr">
        <is>
          <t>Low</t>
        </is>
      </c>
      <c r="L824" t="inlineStr">
        <is>
          <t>wdw/2025/lunar-new-year-2026-le/mickey-minnie</t>
        </is>
      </c>
    </row>
    <row r="825">
      <c r="A825" t="inlineStr">
        <is>
          <t>PHS-0275</t>
        </is>
      </c>
      <c r="B825" t="n">
        <v>1</v>
      </c>
      <c r="C825" t="inlineStr">
        <is>
          <t>Kuzco; Pacha</t>
        </is>
      </c>
      <c r="D825" t="inlineStr">
        <is>
          <t>Enchanted Doors - The Emperor's New Groove</t>
        </is>
      </c>
      <c r="E825" t="inlineStr"/>
      <c r="F825" t="n">
        <v>2500</v>
      </c>
      <c r="G825" t="inlineStr">
        <is>
          <t>N</t>
        </is>
      </c>
      <c r="H825" t="inlineStr"/>
      <c r="I825" t="inlineStr">
        <is>
          <t>none</t>
        </is>
      </c>
      <c r="J825" t="inlineStr">
        <is>
          <t>candidate</t>
        </is>
      </c>
      <c r="K825" t="inlineStr">
        <is>
          <t>Medium</t>
        </is>
      </c>
      <c r="L825" t="inlineStr">
        <is>
          <t>wdw/2026/enchanted-doors/emperors-new-groove</t>
        </is>
      </c>
    </row>
    <row r="826">
      <c r="A826" t="inlineStr">
        <is>
          <t>PHS-0275</t>
        </is>
      </c>
      <c r="B826" t="n">
        <v>2</v>
      </c>
      <c r="C826" t="inlineStr">
        <is>
          <t>Madam Mim</t>
        </is>
      </c>
      <c r="D826" t="inlineStr">
        <is>
          <t>Madam Mim – Enchanted Doors (Pin of the Month)</t>
        </is>
      </c>
      <c r="E826" t="inlineStr"/>
      <c r="F826" t="n">
        <v>2500</v>
      </c>
      <c r="G826" t="inlineStr">
        <is>
          <t>N</t>
        </is>
      </c>
      <c r="H826" t="inlineStr"/>
      <c r="I826" t="inlineStr">
        <is>
          <t>none</t>
        </is>
      </c>
      <c r="J826" t="inlineStr">
        <is>
          <t>candidate</t>
        </is>
      </c>
      <c r="K826" t="inlineStr">
        <is>
          <t>Low</t>
        </is>
      </c>
      <c r="L826" t="inlineStr">
        <is>
          <t>wdw/2026/enchanted-doors/madam-mim</t>
        </is>
      </c>
    </row>
    <row r="827">
      <c r="A827" t="inlineStr">
        <is>
          <t>PHS-0275</t>
        </is>
      </c>
      <c r="B827" t="n">
        <v>3</v>
      </c>
      <c r="C827" t="inlineStr">
        <is>
          <t>Pinocchio</t>
        </is>
      </c>
      <c r="D827" t="inlineStr">
        <is>
          <t>Enchanted Doors (Pin of the Month 3 of 12) - Pinocchio</t>
        </is>
      </c>
      <c r="E827" t="inlineStr"/>
      <c r="F827" t="n">
        <v>2500</v>
      </c>
      <c r="G827" t="inlineStr">
        <is>
          <t>N</t>
        </is>
      </c>
      <c r="H827" t="inlineStr"/>
      <c r="I827" t="inlineStr">
        <is>
          <t>none</t>
        </is>
      </c>
      <c r="J827" t="inlineStr">
        <is>
          <t>candidate</t>
        </is>
      </c>
      <c r="K827" t="inlineStr">
        <is>
          <t>Medium</t>
        </is>
      </c>
      <c r="L827" t="inlineStr">
        <is>
          <t>wdw/2026/enchanted-doors/pinocchio</t>
        </is>
      </c>
    </row>
    <row r="828">
      <c r="A828" t="inlineStr">
        <is>
          <t>PHS-0276</t>
        </is>
      </c>
      <c r="B828" t="n">
        <v>1</v>
      </c>
      <c r="C828" t="inlineStr">
        <is>
          <t>Deadpool</t>
        </is>
      </c>
      <c r="D828" t="inlineStr">
        <is>
          <t>Deadpool 10th Anniversary Pin</t>
        </is>
      </c>
      <c r="E828" t="inlineStr"/>
      <c r="F828" t="inlineStr"/>
      <c r="G828" t="inlineStr">
        <is>
          <t>N</t>
        </is>
      </c>
      <c r="H828" t="inlineStr"/>
      <c r="I828" t="inlineStr">
        <is>
          <t>none</t>
        </is>
      </c>
      <c r="J828" t="inlineStr">
        <is>
          <t>candidate</t>
        </is>
      </c>
      <c r="K828" t="inlineStr">
        <is>
          <t>High</t>
        </is>
      </c>
      <c r="L828" t="inlineStr">
        <is>
          <t>wdw/2026/deadpool-10th-anniversary-lr/deadpool</t>
        </is>
      </c>
    </row>
    <row r="829">
      <c r="A829" t="inlineStr">
        <is>
          <t>PHS-0277</t>
        </is>
      </c>
      <c r="B829" t="n">
        <v>1</v>
      </c>
      <c r="C829" t="inlineStr">
        <is>
          <t>Aladdin; Jasmine</t>
        </is>
      </c>
      <c r="D829" t="inlineStr">
        <is>
          <t>Aladdin and Princess Jasmine Valentine's Day 2026 Limited Release Pin</t>
        </is>
      </c>
      <c r="E829" t="inlineStr"/>
      <c r="F829" t="inlineStr"/>
      <c r="G829" t="inlineStr">
        <is>
          <t>N</t>
        </is>
      </c>
      <c r="H829" t="inlineStr"/>
      <c r="I829" t="inlineStr">
        <is>
          <t>none</t>
        </is>
      </c>
      <c r="J829" t="inlineStr">
        <is>
          <t>candidate</t>
        </is>
      </c>
      <c r="K829" t="inlineStr">
        <is>
          <t>High</t>
        </is>
      </c>
      <c r="L829" t="inlineStr">
        <is>
          <t>wdw/2026/valentines-day-2026/aladdin-jasmine</t>
        </is>
      </c>
    </row>
    <row r="830">
      <c r="A830" t="inlineStr">
        <is>
          <t>PHS-0278</t>
        </is>
      </c>
      <c r="B830" t="n">
        <v>1</v>
      </c>
      <c r="C830" t="inlineStr"/>
      <c r="D830" t="inlineStr">
        <is>
          <t>High School Musical 20th Anniversary Pin</t>
        </is>
      </c>
      <c r="E830" t="inlineStr"/>
      <c r="F830" t="inlineStr"/>
      <c r="G830" t="inlineStr">
        <is>
          <t>N</t>
        </is>
      </c>
      <c r="H830" t="inlineStr"/>
      <c r="I830" t="inlineStr">
        <is>
          <t>none</t>
        </is>
      </c>
      <c r="J830" t="inlineStr">
        <is>
          <t>candidate</t>
        </is>
      </c>
      <c r="K830" t="inlineStr">
        <is>
          <t>Low</t>
        </is>
      </c>
      <c r="L830" t="inlineStr">
        <is>
          <t>wdw/2026/high-school-musical-20th/wildcats-20th</t>
        </is>
      </c>
    </row>
    <row r="831">
      <c r="A831" t="inlineStr">
        <is>
          <t>PHS-0279</t>
        </is>
      </c>
      <c r="B831" t="n">
        <v>1</v>
      </c>
      <c r="C831" t="inlineStr">
        <is>
          <t>Rowlf; Rowlf the Dog</t>
        </is>
      </c>
      <c r="D831" t="inlineStr">
        <is>
          <t>Muppets Disney Park Day - Runaway Railway</t>
        </is>
      </c>
      <c r="E831" t="inlineStr"/>
      <c r="F831" t="n">
        <v>3000</v>
      </c>
      <c r="G831" t="inlineStr">
        <is>
          <t>N</t>
        </is>
      </c>
      <c r="H831" t="inlineStr"/>
      <c r="I831" t="inlineStr">
        <is>
          <t>none</t>
        </is>
      </c>
      <c r="J831" t="inlineStr">
        <is>
          <t>candidate</t>
        </is>
      </c>
      <c r="K831" t="inlineStr">
        <is>
          <t>Medium</t>
        </is>
      </c>
      <c r="L831" t="inlineStr">
        <is>
          <t>wdw/2026/muppets-disney-park-day-hollywood-studios/runaway-railway-rowlf</t>
        </is>
      </c>
    </row>
    <row r="832">
      <c r="A832" t="inlineStr">
        <is>
          <t>PHS-0279</t>
        </is>
      </c>
      <c r="B832" t="n">
        <v>2</v>
      </c>
      <c r="C832" t="inlineStr">
        <is>
          <t>Gonzo; Pepe</t>
        </is>
      </c>
      <c r="D832" t="inlineStr">
        <is>
          <t>Muppets Disney Park Day - Tower of Terror Mini Jumbo</t>
        </is>
      </c>
      <c r="E832" t="inlineStr"/>
      <c r="F832" t="n">
        <v>1500</v>
      </c>
      <c r="G832" t="inlineStr">
        <is>
          <t>N</t>
        </is>
      </c>
      <c r="H832" t="inlineStr"/>
      <c r="I832" t="inlineStr">
        <is>
          <t>none</t>
        </is>
      </c>
      <c r="J832" t="inlineStr">
        <is>
          <t>candidate</t>
        </is>
      </c>
      <c r="K832" t="inlineStr">
        <is>
          <t>Medium</t>
        </is>
      </c>
      <c r="L832" t="inlineStr">
        <is>
          <t>wdw/2026/muppets-disney-park-day-hollywood-studios/tower-of-terror-mini-jumbo</t>
        </is>
      </c>
    </row>
    <row r="833">
      <c r="A833" t="inlineStr">
        <is>
          <t>PHS-0280</t>
        </is>
      </c>
      <c r="B833" t="n">
        <v>1</v>
      </c>
      <c r="C833" t="inlineStr">
        <is>
          <t>Chip; Dale</t>
        </is>
      </c>
      <c r="D833" t="inlineStr">
        <is>
          <t>Chip 'n' Dale Play Along bubblegum machine pin</t>
        </is>
      </c>
      <c r="E833" t="inlineStr"/>
      <c r="F833" t="n">
        <v>2000</v>
      </c>
      <c r="G833" t="inlineStr">
        <is>
          <t>N</t>
        </is>
      </c>
      <c r="H833" t="inlineStr"/>
      <c r="I833" t="inlineStr">
        <is>
          <t>none</t>
        </is>
      </c>
      <c r="J833" t="inlineStr">
        <is>
          <t>candidate</t>
        </is>
      </c>
      <c r="K833" t="inlineStr">
        <is>
          <t>Medium</t>
        </is>
      </c>
      <c r="L833" t="inlineStr">
        <is>
          <t>wdw/2026/chip-n-dale-play-along-le/bubblegum-machine</t>
        </is>
      </c>
    </row>
    <row r="834">
      <c r="A834" t="inlineStr">
        <is>
          <t>PHS-0281</t>
        </is>
      </c>
      <c r="B834" t="n">
        <v>1</v>
      </c>
      <c r="C834" t="inlineStr">
        <is>
          <t>Bean Bunny; Fozzie Bear</t>
        </is>
      </c>
      <c r="D834" t="inlineStr">
        <is>
          <t>Muppets Disney Park Day - Dumbo</t>
        </is>
      </c>
      <c r="E834" t="inlineStr"/>
      <c r="F834" t="n">
        <v>3000</v>
      </c>
      <c r="G834" t="inlineStr">
        <is>
          <t>N</t>
        </is>
      </c>
      <c r="H834" t="inlineStr"/>
      <c r="I834" t="inlineStr">
        <is>
          <t>none</t>
        </is>
      </c>
      <c r="J834" t="inlineStr">
        <is>
          <t>candidate</t>
        </is>
      </c>
      <c r="K834" t="inlineStr">
        <is>
          <t>Medium</t>
        </is>
      </c>
      <c r="L834" t="inlineStr">
        <is>
          <t>wdw/2026/muppets-disney-park-day-magic-kingdom/dumbo</t>
        </is>
      </c>
    </row>
    <row r="835">
      <c r="A835" t="inlineStr">
        <is>
          <t>PHS-0281</t>
        </is>
      </c>
      <c r="B835" t="n">
        <v>2</v>
      </c>
      <c r="C835" t="inlineStr">
        <is>
          <t>Uncle Deadly</t>
        </is>
      </c>
      <c r="D835" t="inlineStr">
        <is>
          <t>Muppets Disney Park Day - Haunted Mansion</t>
        </is>
      </c>
      <c r="E835" t="inlineStr"/>
      <c r="F835" t="n">
        <v>3000</v>
      </c>
      <c r="G835" t="inlineStr">
        <is>
          <t>N</t>
        </is>
      </c>
      <c r="H835" t="inlineStr"/>
      <c r="I835" t="inlineStr">
        <is>
          <t>none</t>
        </is>
      </c>
      <c r="J835" t="inlineStr">
        <is>
          <t>candidate</t>
        </is>
      </c>
      <c r="K835" t="inlineStr">
        <is>
          <t>Medium</t>
        </is>
      </c>
      <c r="L835" t="inlineStr">
        <is>
          <t>wdw/2026/muppets-disney-park-day-magic-kingdom/haunted-mansion</t>
        </is>
      </c>
    </row>
    <row r="836">
      <c r="A836" t="inlineStr">
        <is>
          <t>PHS-0281</t>
        </is>
      </c>
      <c r="B836" t="n">
        <v>3</v>
      </c>
      <c r="C836" t="inlineStr">
        <is>
          <t>Kermit the Frog; Miss Piggy</t>
        </is>
      </c>
      <c r="D836" t="inlineStr">
        <is>
          <t>Muppets Disney Park Day - Magic Kingdom Jumbo</t>
        </is>
      </c>
      <c r="E836" t="inlineStr"/>
      <c r="F836" t="n">
        <v>1500</v>
      </c>
      <c r="G836" t="inlineStr">
        <is>
          <t>N</t>
        </is>
      </c>
      <c r="H836" t="inlineStr"/>
      <c r="I836" t="inlineStr">
        <is>
          <t>none</t>
        </is>
      </c>
      <c r="J836" t="inlineStr">
        <is>
          <t>candidate</t>
        </is>
      </c>
      <c r="K836" t="inlineStr">
        <is>
          <t>Medium</t>
        </is>
      </c>
      <c r="L836" t="inlineStr">
        <is>
          <t>wdw/2026/muppets-disney-park-day-magic-kingdom/magic-kingdom-jumbo</t>
        </is>
      </c>
    </row>
    <row r="837">
      <c r="A837" t="inlineStr">
        <is>
          <t>PHS-0282</t>
        </is>
      </c>
      <c r="B837" t="n">
        <v>1</v>
      </c>
      <c r="C837" t="inlineStr"/>
      <c r="D837" t="inlineStr">
        <is>
          <t>Windows of Attraction: Walt Disney World Railroad</t>
        </is>
      </c>
      <c r="E837" t="inlineStr"/>
      <c r="F837" t="n">
        <v>2500</v>
      </c>
      <c r="G837" t="inlineStr">
        <is>
          <t>N</t>
        </is>
      </c>
      <c r="H837" t="inlineStr"/>
      <c r="I837" t="inlineStr">
        <is>
          <t>none</t>
        </is>
      </c>
      <c r="J837" t="inlineStr">
        <is>
          <t>candidate</t>
        </is>
      </c>
      <c r="K837" t="inlineStr">
        <is>
          <t>Medium</t>
        </is>
      </c>
      <c r="L837" t="inlineStr">
        <is>
          <t>wdw/2026/windows-of-attraction-wdw-railroad-le/walt-disney-world-railroad</t>
        </is>
      </c>
    </row>
    <row r="838">
      <c r="A838" t="inlineStr">
        <is>
          <t>PHS-0283</t>
        </is>
      </c>
      <c r="B838" t="n">
        <v>1</v>
      </c>
      <c r="C838" t="inlineStr">
        <is>
          <t>Sweetums</t>
        </is>
      </c>
      <c r="D838" t="inlineStr">
        <is>
          <t>Muppets Disney Park Day - Expedition Everest</t>
        </is>
      </c>
      <c r="E838" t="inlineStr"/>
      <c r="F838" t="n">
        <v>3000</v>
      </c>
      <c r="G838" t="inlineStr">
        <is>
          <t>N</t>
        </is>
      </c>
      <c r="H838" t="inlineStr"/>
      <c r="I838" t="inlineStr">
        <is>
          <t>none</t>
        </is>
      </c>
      <c r="J838" t="inlineStr">
        <is>
          <t>candidate</t>
        </is>
      </c>
      <c r="K838" t="inlineStr">
        <is>
          <t>Medium</t>
        </is>
      </c>
      <c r="L838" t="inlineStr">
        <is>
          <t>wdw/2026/muppets-disney-park-day-animal-kingdom/expedition-everest</t>
        </is>
      </c>
    </row>
    <row r="839">
      <c r="A839" t="inlineStr">
        <is>
          <t>PHS-0283</t>
        </is>
      </c>
      <c r="B839" t="n">
        <v>2</v>
      </c>
      <c r="C839" t="inlineStr">
        <is>
          <t>Camilla; Gonzo</t>
        </is>
      </c>
      <c r="D839" t="inlineStr">
        <is>
          <t>Muppets Disney Park Day - Kilimanjaro Safaris</t>
        </is>
      </c>
      <c r="E839" t="inlineStr"/>
      <c r="F839" t="n">
        <v>3000</v>
      </c>
      <c r="G839" t="inlineStr">
        <is>
          <t>N</t>
        </is>
      </c>
      <c r="H839" t="inlineStr"/>
      <c r="I839" t="inlineStr">
        <is>
          <t>none</t>
        </is>
      </c>
      <c r="J839" t="inlineStr">
        <is>
          <t>candidate</t>
        </is>
      </c>
      <c r="K839" t="inlineStr">
        <is>
          <t>Low</t>
        </is>
      </c>
      <c r="L839" t="inlineStr">
        <is>
          <t>wdw/2026/muppets-disney-park-day-animal-kingdom/kilimanjaro-safaris</t>
        </is>
      </c>
    </row>
    <row r="840">
      <c r="A840" t="inlineStr">
        <is>
          <t>PHS-0283</t>
        </is>
      </c>
      <c r="B840" t="n">
        <v>3</v>
      </c>
      <c r="C840" t="inlineStr">
        <is>
          <t>Animal</t>
        </is>
      </c>
      <c r="D840" t="inlineStr">
        <is>
          <t>Muppets Disney Park Day - Animal Kingdom Mini Jumbo (Animal)</t>
        </is>
      </c>
      <c r="E840" t="inlineStr"/>
      <c r="F840" t="n">
        <v>1500</v>
      </c>
      <c r="G840" t="inlineStr">
        <is>
          <t>N</t>
        </is>
      </c>
      <c r="H840" t="inlineStr"/>
      <c r="I840" t="inlineStr">
        <is>
          <t>none</t>
        </is>
      </c>
      <c r="J840" t="inlineStr">
        <is>
          <t>candidate</t>
        </is>
      </c>
      <c r="K840" t="inlineStr">
        <is>
          <t>Medium</t>
        </is>
      </c>
      <c r="L840" t="inlineStr">
        <is>
          <t>wdw/2026/muppets-disney-park-day-animal-kingdom/mini-jumbo</t>
        </is>
      </c>
    </row>
    <row r="841">
      <c r="A841" t="inlineStr">
        <is>
          <t>PHS-0284</t>
        </is>
      </c>
      <c r="B841" t="n">
        <v>1</v>
      </c>
      <c r="C841" t="inlineStr">
        <is>
          <t>Judy Hopps; Nick Wilde</t>
        </is>
      </c>
      <c r="D841" t="inlineStr">
        <is>
          <t>Zootopia 10th - Nick and Judy</t>
        </is>
      </c>
      <c r="E841" t="inlineStr"/>
      <c r="F841" t="n">
        <v>4000</v>
      </c>
      <c r="G841" t="inlineStr">
        <is>
          <t>N</t>
        </is>
      </c>
      <c r="H841" t="inlineStr"/>
      <c r="I841" t="inlineStr">
        <is>
          <t>none</t>
        </is>
      </c>
      <c r="J841" t="inlineStr">
        <is>
          <t>candidate</t>
        </is>
      </c>
      <c r="K841" t="inlineStr">
        <is>
          <t>Medium</t>
        </is>
      </c>
      <c r="L841" t="inlineStr">
        <is>
          <t>wdw/2026/zootopia-10th-anniversary/nick-and-judy</t>
        </is>
      </c>
    </row>
    <row r="842">
      <c r="A842" t="inlineStr">
        <is>
          <t>PHS-0284</t>
        </is>
      </c>
      <c r="B842" t="n">
        <v>2</v>
      </c>
      <c r="C842" t="inlineStr">
        <is>
          <t>Finnick</t>
        </is>
      </c>
      <c r="D842" t="inlineStr">
        <is>
          <t>Zootopia 10th - Toot Toot</t>
        </is>
      </c>
      <c r="E842" t="inlineStr"/>
      <c r="F842" t="n">
        <v>4000</v>
      </c>
      <c r="G842" t="inlineStr">
        <is>
          <t>N</t>
        </is>
      </c>
      <c r="H842" t="inlineStr"/>
      <c r="I842" t="inlineStr">
        <is>
          <t>none</t>
        </is>
      </c>
      <c r="J842" t="inlineStr">
        <is>
          <t>candidate</t>
        </is>
      </c>
      <c r="K842" t="inlineStr">
        <is>
          <t>Medium</t>
        </is>
      </c>
      <c r="L842" t="inlineStr">
        <is>
          <t>wdw/2026/zootopia-10th-anniversary/toot-toot</t>
        </is>
      </c>
    </row>
    <row r="843">
      <c r="A843" t="inlineStr">
        <is>
          <t>PHS-0285</t>
        </is>
      </c>
      <c r="B843" t="n">
        <v>1</v>
      </c>
      <c r="C843" t="inlineStr"/>
      <c r="D843" t="inlineStr">
        <is>
          <t>Spring Break pin</t>
        </is>
      </c>
      <c r="E843" t="inlineStr"/>
      <c r="F843" t="n">
        <v>1500</v>
      </c>
      <c r="G843" t="inlineStr">
        <is>
          <t>N</t>
        </is>
      </c>
      <c r="H843" t="inlineStr"/>
      <c r="I843" t="inlineStr">
        <is>
          <t>none</t>
        </is>
      </c>
      <c r="J843" t="inlineStr">
        <is>
          <t>candidate</t>
        </is>
      </c>
      <c r="K843" t="inlineStr">
        <is>
          <t>Low</t>
        </is>
      </c>
      <c r="L843" t="inlineStr">
        <is>
          <t>wdw/2026/spring-break-2026-le/spring-break</t>
        </is>
      </c>
    </row>
    <row r="844">
      <c r="A844" t="inlineStr">
        <is>
          <t>PHS-0286</t>
        </is>
      </c>
      <c r="B844" t="n">
        <v>1</v>
      </c>
      <c r="C844" t="inlineStr">
        <is>
          <t>Caterpillar; Cheshire Cat</t>
        </is>
      </c>
      <c r="D844" t="inlineStr">
        <is>
          <t>Alice in Wonderland pin</t>
        </is>
      </c>
      <c r="E844" t="inlineStr"/>
      <c r="F844" t="n">
        <v>4000</v>
      </c>
      <c r="G844" t="inlineStr">
        <is>
          <t>N</t>
        </is>
      </c>
      <c r="H844" t="inlineStr"/>
      <c r="I844" t="inlineStr">
        <is>
          <t>none</t>
        </is>
      </c>
      <c r="J844" t="inlineStr">
        <is>
          <t>candidate</t>
        </is>
      </c>
      <c r="K844" t="inlineStr">
        <is>
          <t>Medium</t>
        </is>
      </c>
      <c r="L844" t="inlineStr">
        <is>
          <t>wdw/2026/disney-artist-collection-kate-maria-attraction-animals/alice-in-wonderland</t>
        </is>
      </c>
    </row>
    <row r="845">
      <c r="A845" t="inlineStr">
        <is>
          <t>PHS-0286</t>
        </is>
      </c>
      <c r="B845" t="n">
        <v>2</v>
      </c>
      <c r="C845" t="inlineStr"/>
      <c r="D845" t="inlineStr">
        <is>
          <t>Dumbo the Flying Elephant pin</t>
        </is>
      </c>
      <c r="E845" t="inlineStr"/>
      <c r="F845" t="n">
        <v>4000</v>
      </c>
      <c r="G845" t="inlineStr">
        <is>
          <t>N</t>
        </is>
      </c>
      <c r="H845" t="inlineStr"/>
      <c r="I845" t="inlineStr">
        <is>
          <t>none</t>
        </is>
      </c>
      <c r="J845" t="inlineStr">
        <is>
          <t>candidate</t>
        </is>
      </c>
      <c r="K845" t="inlineStr">
        <is>
          <t>Low</t>
        </is>
      </c>
      <c r="L845" t="inlineStr">
        <is>
          <t>wdw/2026/disney-artist-collection-kate-maria-attraction-animals/dumbo</t>
        </is>
      </c>
    </row>
    <row r="846">
      <c r="A846" t="inlineStr">
        <is>
          <t>PHS-0286</t>
        </is>
      </c>
      <c r="B846" t="n">
        <v>3</v>
      </c>
      <c r="C846" t="inlineStr"/>
      <c r="D846" t="inlineStr">
        <is>
          <t>Prince Charming Regal Carrousel pin</t>
        </is>
      </c>
      <c r="E846" t="inlineStr"/>
      <c r="F846" t="inlineStr"/>
      <c r="G846" t="inlineStr">
        <is>
          <t>N</t>
        </is>
      </c>
      <c r="H846" t="inlineStr"/>
      <c r="I846" t="inlineStr">
        <is>
          <t>none</t>
        </is>
      </c>
      <c r="J846" t="inlineStr">
        <is>
          <t>candidate</t>
        </is>
      </c>
      <c r="K846" t="inlineStr">
        <is>
          <t>Low</t>
        </is>
      </c>
      <c r="L846" t="inlineStr">
        <is>
          <t>wdw/2026/disney-artist-collection-kate-maria-attraction-animals/prince-charming-regal-carrousel</t>
        </is>
      </c>
    </row>
    <row r="847">
      <c r="A847" t="inlineStr">
        <is>
          <t>PHS-0286</t>
        </is>
      </c>
      <c r="B847" t="n">
        <v>4</v>
      </c>
      <c r="C847" t="inlineStr"/>
      <c r="D847" t="inlineStr">
        <is>
          <t>Ratatouille pin</t>
        </is>
      </c>
      <c r="E847" t="inlineStr"/>
      <c r="F847" t="n">
        <v>4000</v>
      </c>
      <c r="G847" t="inlineStr">
        <is>
          <t>N</t>
        </is>
      </c>
      <c r="H847" t="inlineStr"/>
      <c r="I847" t="inlineStr">
        <is>
          <t>none</t>
        </is>
      </c>
      <c r="J847" t="inlineStr">
        <is>
          <t>candidate</t>
        </is>
      </c>
      <c r="K847" t="inlineStr">
        <is>
          <t>Low</t>
        </is>
      </c>
      <c r="L847" t="inlineStr">
        <is>
          <t>wdw/2026/disney-artist-collection-kate-maria-attraction-animals/ratatouille</t>
        </is>
      </c>
    </row>
    <row r="848">
      <c r="A848" t="inlineStr">
        <is>
          <t>PHS-0286</t>
        </is>
      </c>
      <c r="B848" t="n">
        <v>5</v>
      </c>
      <c r="C848" t="inlineStr"/>
      <c r="D848" t="inlineStr">
        <is>
          <t>Walt Disney World Jumbo Pin</t>
        </is>
      </c>
      <c r="E848" t="inlineStr"/>
      <c r="F848" t="n">
        <v>2000</v>
      </c>
      <c r="G848" t="inlineStr">
        <is>
          <t>N</t>
        </is>
      </c>
      <c r="H848" t="inlineStr"/>
      <c r="I848" t="inlineStr">
        <is>
          <t>none</t>
        </is>
      </c>
      <c r="J848" t="inlineStr">
        <is>
          <t>candidate</t>
        </is>
      </c>
      <c r="K848" t="inlineStr">
        <is>
          <t>Medium</t>
        </is>
      </c>
      <c r="L848" t="inlineStr">
        <is>
          <t>wdw/2026/disney-artist-collection-kate-maria-attraction-animals/walt-disney-world-jumbo</t>
        </is>
      </c>
    </row>
    <row r="849">
      <c r="A849" t="inlineStr">
        <is>
          <t>PHS-0287</t>
        </is>
      </c>
      <c r="B849" t="n">
        <v>1</v>
      </c>
      <c r="C849" t="inlineStr">
        <is>
          <t>Yeti</t>
        </is>
      </c>
      <c r="D849" t="inlineStr">
        <is>
          <t>Expedition Everest 20th Anniversary Pin</t>
        </is>
      </c>
      <c r="E849" t="inlineStr"/>
      <c r="F849" t="n">
        <v>2000</v>
      </c>
      <c r="G849" t="inlineStr">
        <is>
          <t>N</t>
        </is>
      </c>
      <c r="H849" t="inlineStr"/>
      <c r="I849" t="inlineStr">
        <is>
          <t>none</t>
        </is>
      </c>
      <c r="J849" t="inlineStr">
        <is>
          <t>candidate</t>
        </is>
      </c>
      <c r="K849" t="inlineStr">
        <is>
          <t>Medium</t>
        </is>
      </c>
      <c r="L849" t="inlineStr">
        <is>
          <t>wdw/2026/expedition-everest-20th-le/yeti</t>
        </is>
      </c>
    </row>
    <row r="850">
      <c r="A850" t="inlineStr">
        <is>
          <t>PHS-0288</t>
        </is>
      </c>
      <c r="B850" t="n">
        <v>1</v>
      </c>
      <c r="C850" t="inlineStr">
        <is>
          <t>Mickey Mouse; Minnie Mouse</t>
        </is>
      </c>
      <c r="D850" t="inlineStr">
        <is>
          <t>Happy Easter 2026 Pin with Mickey and Minnie</t>
        </is>
      </c>
      <c r="E850" t="inlineStr"/>
      <c r="F850" t="n">
        <v>2500</v>
      </c>
      <c r="G850" t="inlineStr">
        <is>
          <t>N</t>
        </is>
      </c>
      <c r="H850" t="inlineStr"/>
      <c r="I850" t="inlineStr">
        <is>
          <t>none</t>
        </is>
      </c>
      <c r="J850" t="inlineStr">
        <is>
          <t>candidate</t>
        </is>
      </c>
      <c r="K850" t="inlineStr">
        <is>
          <t>Medium</t>
        </is>
      </c>
      <c r="L850" t="inlineStr">
        <is>
          <t>wdw/2026/happy-easter-2026-le/mickey-minnie</t>
        </is>
      </c>
    </row>
    <row r="851">
      <c r="A851" t="inlineStr">
        <is>
          <t>PHS-0289</t>
        </is>
      </c>
      <c r="B851" t="n">
        <v>1</v>
      </c>
      <c r="C851" t="inlineStr">
        <is>
          <t>Iago</t>
        </is>
      </c>
      <c r="D851" t="inlineStr">
        <is>
          <t>A-2-Z I - Iago</t>
        </is>
      </c>
      <c r="E851" t="inlineStr"/>
      <c r="F851" t="inlineStr"/>
      <c r="G851" t="inlineStr">
        <is>
          <t>N</t>
        </is>
      </c>
      <c r="H851" t="inlineStr"/>
      <c r="I851" t="inlineStr">
        <is>
          <t>none</t>
        </is>
      </c>
      <c r="J851" t="inlineStr">
        <is>
          <t>candidate</t>
        </is>
      </c>
      <c r="K851" t="inlineStr">
        <is>
          <t>Low</t>
        </is>
      </c>
      <c r="L851" t="inlineStr">
        <is>
          <t>wdw/2026/a-2-z-series/i-and-r/iago</t>
        </is>
      </c>
    </row>
    <row r="852">
      <c r="A852" t="inlineStr">
        <is>
          <t>PHS-0289</t>
        </is>
      </c>
      <c r="B852" t="n">
        <v>2</v>
      </c>
      <c r="C852" t="inlineStr">
        <is>
          <t>Robin Hood</t>
        </is>
      </c>
      <c r="D852" t="inlineStr">
        <is>
          <t>A-2-Z R - Robin Hood</t>
        </is>
      </c>
      <c r="E852" t="inlineStr"/>
      <c r="F852" t="inlineStr"/>
      <c r="G852" t="inlineStr">
        <is>
          <t>N</t>
        </is>
      </c>
      <c r="H852" t="inlineStr"/>
      <c r="I852" t="inlineStr">
        <is>
          <t>none</t>
        </is>
      </c>
      <c r="J852" t="inlineStr">
        <is>
          <t>candidate</t>
        </is>
      </c>
      <c r="K852" t="inlineStr">
        <is>
          <t>Low</t>
        </is>
      </c>
      <c r="L852" t="inlineStr">
        <is>
          <t>wdw/2026/a-2-z-series/i-and-r/robin-hood</t>
        </is>
      </c>
    </row>
    <row r="853">
      <c r="A853" t="inlineStr">
        <is>
          <t>PHS-0290</t>
        </is>
      </c>
      <c r="B853" t="n">
        <v>1</v>
      </c>
      <c r="C853" t="inlineStr">
        <is>
          <t>Sam Eagle</t>
        </is>
      </c>
      <c r="D853" t="inlineStr">
        <is>
          <t>Sam Eagle U.S.A. 250th Anniversary Pin</t>
        </is>
      </c>
      <c r="E853" t="inlineStr"/>
      <c r="F853" t="inlineStr"/>
      <c r="G853" t="inlineStr">
        <is>
          <t>N</t>
        </is>
      </c>
      <c r="H853" t="inlineStr"/>
      <c r="I853" t="inlineStr">
        <is>
          <t>none</t>
        </is>
      </c>
      <c r="J853" t="inlineStr">
        <is>
          <t>candidate</t>
        </is>
      </c>
      <c r="K853" t="inlineStr">
        <is>
          <t>Low</t>
        </is>
      </c>
      <c r="L853" t="inlineStr">
        <is>
          <t>wdw/2026/sam-eagle-usa-250th-lr/sam-eagle</t>
        </is>
      </c>
    </row>
    <row r="854">
      <c r="A854" t="inlineStr">
        <is>
          <t>PHS-0291</t>
        </is>
      </c>
      <c r="B854" t="n">
        <v>1</v>
      </c>
      <c r="C854" t="inlineStr">
        <is>
          <t>Chip; Dale</t>
        </is>
      </c>
      <c r="D854" t="inlineStr">
        <is>
          <t>Daring Detectives Animal Kingdom Mini Jumbo Pin</t>
        </is>
      </c>
      <c r="E854" t="inlineStr"/>
      <c r="F854" t="n">
        <v>4000</v>
      </c>
      <c r="G854" t="inlineStr">
        <is>
          <t>N</t>
        </is>
      </c>
      <c r="H854" t="inlineStr"/>
      <c r="I854" t="inlineStr">
        <is>
          <t>none</t>
        </is>
      </c>
      <c r="J854" t="inlineStr">
        <is>
          <t>candidate</t>
        </is>
      </c>
      <c r="K854" t="inlineStr">
        <is>
          <t>Medium</t>
        </is>
      </c>
      <c r="L854" t="inlineStr">
        <is>
          <t>wdw/2026/disney-daring-detectives/animal-kingdom-mini-jumbo</t>
        </is>
      </c>
    </row>
    <row r="855">
      <c r="A855" t="inlineStr">
        <is>
          <t>PHS-0291</t>
        </is>
      </c>
      <c r="B855" t="n">
        <v>2</v>
      </c>
      <c r="C855" t="inlineStr">
        <is>
          <t>Dewey; Donald Duck; Huey; Louie</t>
        </is>
      </c>
      <c r="D855" t="inlineStr">
        <is>
          <t>Magic Kingdom Daring Detectives Mini Jumbo Pin</t>
        </is>
      </c>
      <c r="E855" t="inlineStr"/>
      <c r="F855" t="n">
        <v>4000</v>
      </c>
      <c r="G855" t="inlineStr">
        <is>
          <t>N</t>
        </is>
      </c>
      <c r="H855" t="inlineStr"/>
      <c r="I855" t="inlineStr">
        <is>
          <t>none</t>
        </is>
      </c>
      <c r="J855" t="inlineStr">
        <is>
          <t>candidate</t>
        </is>
      </c>
      <c r="K855" t="inlineStr">
        <is>
          <t>Low</t>
        </is>
      </c>
      <c r="L855" t="inlineStr">
        <is>
          <t>wdw/2026/disney-daring-detectives/magic-kingdom-mini-jumbo</t>
        </is>
      </c>
    </row>
    <row r="856">
      <c r="A856" t="inlineStr">
        <is>
          <t>PHS-0292</t>
        </is>
      </c>
      <c r="B856" t="n">
        <v>1</v>
      </c>
      <c r="C856" t="inlineStr">
        <is>
          <t>Dory; Fluke; Gerald; Hank; Rudder</t>
        </is>
      </c>
      <c r="D856" t="inlineStr">
        <is>
          <t>Finding Dory 10th Anniversary Pin</t>
        </is>
      </c>
      <c r="E856" t="inlineStr"/>
      <c r="F856" t="n">
        <v>4000</v>
      </c>
      <c r="G856" t="inlineStr">
        <is>
          <t>N</t>
        </is>
      </c>
      <c r="H856" t="inlineStr"/>
      <c r="I856" t="inlineStr">
        <is>
          <t>none</t>
        </is>
      </c>
      <c r="J856" t="inlineStr">
        <is>
          <t>candidate</t>
        </is>
      </c>
      <c r="K856" t="inlineStr">
        <is>
          <t>Low</t>
        </is>
      </c>
      <c r="L856" t="inlineStr">
        <is>
          <t>wdw/2026/finding-dory-10th-le/finding-dory-10th</t>
        </is>
      </c>
    </row>
    <row r="857">
      <c r="A857" t="inlineStr">
        <is>
          <t>PHS-0293</t>
        </is>
      </c>
      <c r="B857" t="n">
        <v>1</v>
      </c>
      <c r="C857" t="inlineStr">
        <is>
          <t>Esmeralda; Frollo</t>
        </is>
      </c>
      <c r="D857" t="inlineStr">
        <is>
          <t>Hunchback 30th Anniversary Frollo &amp; Esmeralda Pin</t>
        </is>
      </c>
      <c r="E857" t="inlineStr"/>
      <c r="F857" t="inlineStr"/>
      <c r="G857" t="inlineStr">
        <is>
          <t>N</t>
        </is>
      </c>
      <c r="H857" t="inlineStr"/>
      <c r="I857" t="inlineStr">
        <is>
          <t>none</t>
        </is>
      </c>
      <c r="J857" t="inlineStr">
        <is>
          <t>candidate</t>
        </is>
      </c>
      <c r="K857" t="inlineStr">
        <is>
          <t>High</t>
        </is>
      </c>
      <c r="L857" t="inlineStr">
        <is>
          <t>wdw/2026/hunchback-of-notre-dame-30th/frollo-esmeralda</t>
        </is>
      </c>
    </row>
    <row r="858">
      <c r="A858" t="inlineStr">
        <is>
          <t>PHS-0293</t>
        </is>
      </c>
      <c r="B858" t="n">
        <v>2</v>
      </c>
      <c r="C858" t="inlineStr">
        <is>
          <t>Clopin; Quasimodo</t>
        </is>
      </c>
      <c r="D858" t="inlineStr">
        <is>
          <t>Hunchback 30th Anniversary Stage Pin</t>
        </is>
      </c>
      <c r="E858" t="inlineStr"/>
      <c r="F858" t="n">
        <v>3000</v>
      </c>
      <c r="G858" t="inlineStr">
        <is>
          <t>N</t>
        </is>
      </c>
      <c r="H858" t="inlineStr"/>
      <c r="I858" t="inlineStr">
        <is>
          <t>none</t>
        </is>
      </c>
      <c r="J858" t="inlineStr">
        <is>
          <t>candidate</t>
        </is>
      </c>
      <c r="K858" t="inlineStr">
        <is>
          <t>Low</t>
        </is>
      </c>
      <c r="L858" t="inlineStr">
        <is>
          <t>wdw/2026/hunchback-of-notre-dame-30th/quasimodo-clopin-stage</t>
        </is>
      </c>
    </row>
    <row r="859">
      <c r="A859" t="inlineStr">
        <is>
          <t>PHS-0294</t>
        </is>
      </c>
      <c r="B859" t="n">
        <v>1</v>
      </c>
      <c r="C859" t="inlineStr"/>
      <c r="D859" t="inlineStr">
        <is>
          <t>250th Independence Day pin</t>
        </is>
      </c>
      <c r="E859" t="inlineStr"/>
      <c r="F859" t="inlineStr"/>
      <c r="G859" t="inlineStr">
        <is>
          <t>N</t>
        </is>
      </c>
      <c r="H859" t="inlineStr"/>
      <c r="I859" t="inlineStr">
        <is>
          <t>none</t>
        </is>
      </c>
      <c r="J859" t="inlineStr">
        <is>
          <t>candidate</t>
        </is>
      </c>
      <c r="K859" t="inlineStr">
        <is>
          <t>Low</t>
        </is>
      </c>
      <c r="L859" t="inlineStr">
        <is>
          <t>wdw/2026/250th-independence-day-lr/independence-day-250th</t>
        </is>
      </c>
    </row>
    <row r="860">
      <c r="A860" t="inlineStr">
        <is>
          <t>PHS-0295</t>
        </is>
      </c>
      <c r="B860" t="n">
        <v>1</v>
      </c>
      <c r="C860" t="inlineStr">
        <is>
          <t>Mickey Mouse</t>
        </is>
      </c>
      <c r="D860" t="inlineStr">
        <is>
          <t>Disney's Contemporary Resort 55th Anniversary Pin</t>
        </is>
      </c>
      <c r="E860" t="inlineStr"/>
      <c r="F860" t="n">
        <v>2000</v>
      </c>
      <c r="G860" t="inlineStr">
        <is>
          <t>N</t>
        </is>
      </c>
      <c r="H860" t="inlineStr"/>
      <c r="I860" t="inlineStr">
        <is>
          <t>none</t>
        </is>
      </c>
      <c r="J860" t="inlineStr">
        <is>
          <t>candidate</t>
        </is>
      </c>
      <c r="K860" t="inlineStr">
        <is>
          <t>Medium</t>
        </is>
      </c>
      <c r="L860" t="inlineStr">
        <is>
          <t>wdw/2026/walt-disney-world-55th-anniversary/contemporary-resort</t>
        </is>
      </c>
    </row>
    <row r="861">
      <c r="A861" t="inlineStr">
        <is>
          <t>PHS-0295</t>
        </is>
      </c>
      <c r="B861" t="n">
        <v>2</v>
      </c>
      <c r="C861" t="inlineStr"/>
      <c r="D861" t="inlineStr">
        <is>
          <t>Walt Disney World 55th Anniversary Mini Jumbo Pin</t>
        </is>
      </c>
      <c r="E861" t="inlineStr"/>
      <c r="F861" t="n">
        <v>5000</v>
      </c>
      <c r="G861" t="inlineStr">
        <is>
          <t>N</t>
        </is>
      </c>
      <c r="H861" t="inlineStr"/>
      <c r="I861" t="inlineStr">
        <is>
          <t>none</t>
        </is>
      </c>
      <c r="J861" t="inlineStr">
        <is>
          <t>candidate</t>
        </is>
      </c>
      <c r="K861" t="inlineStr">
        <is>
          <t>Medium</t>
        </is>
      </c>
      <c r="L861" t="inlineStr">
        <is>
          <t>wdw/2026/walt-disney-world-55th-anniversary/mini-jumbo</t>
        </is>
      </c>
    </row>
    <row r="862">
      <c r="A862" t="inlineStr">
        <is>
          <t>PHS-0295</t>
        </is>
      </c>
      <c r="B862" t="n">
        <v>3</v>
      </c>
      <c r="C862" t="inlineStr">
        <is>
          <t>Mickey Mouse; Minnie Mouse</t>
        </is>
      </c>
      <c r="D862" t="inlineStr">
        <is>
          <t>Disney's Polynesian Village Resort 55th Anniversary Pin</t>
        </is>
      </c>
      <c r="E862" t="inlineStr"/>
      <c r="F862" t="n">
        <v>2000</v>
      </c>
      <c r="G862" t="inlineStr">
        <is>
          <t>N</t>
        </is>
      </c>
      <c r="H862" t="inlineStr"/>
      <c r="I862" t="inlineStr">
        <is>
          <t>none</t>
        </is>
      </c>
      <c r="J862" t="inlineStr">
        <is>
          <t>candidate</t>
        </is>
      </c>
      <c r="K862" t="inlineStr">
        <is>
          <t>Medium</t>
        </is>
      </c>
      <c r="L862" t="inlineStr">
        <is>
          <t>wdw/2026/walt-disney-world-55th-anniversary/polynesian-village-resort</t>
        </is>
      </c>
    </row>
    <row r="863">
      <c r="A863" t="inlineStr">
        <is>
          <t>PHS-0296</t>
        </is>
      </c>
      <c r="B863" t="n">
        <v>1</v>
      </c>
      <c r="C863" t="inlineStr">
        <is>
          <t>Zurg</t>
        </is>
      </c>
      <c r="D863" t="inlineStr">
        <is>
          <t>Windows of Attraction: Buzz Lightyear's Space Ranger Spin</t>
        </is>
      </c>
      <c r="E863" t="inlineStr"/>
      <c r="F863" t="n">
        <v>2500</v>
      </c>
      <c r="G863" t="inlineStr">
        <is>
          <t>possible</t>
        </is>
      </c>
      <c r="H863" t="inlineStr"/>
      <c r="I863" t="inlineStr">
        <is>
          <t>none</t>
        </is>
      </c>
      <c r="J863" t="inlineStr">
        <is>
          <t>candidate</t>
        </is>
      </c>
      <c r="K863" t="inlineStr">
        <is>
          <t>Medium</t>
        </is>
      </c>
      <c r="L863" t="inlineStr">
        <is>
          <t>windows-of-attraction/2026-wdw/buzz-lightyear-s-space-ranger-spin-zurg</t>
        </is>
      </c>
    </row>
    <row r="864">
      <c r="A864" t="inlineStr">
        <is>
          <t>PHS-0296</t>
        </is>
      </c>
      <c r="B864" t="n">
        <v>2</v>
      </c>
      <c r="C864" t="inlineStr"/>
      <c r="D864" t="inlineStr">
        <is>
          <t>Windows of Attraction: Country Bear Musical Jamboree</t>
        </is>
      </c>
      <c r="E864" t="inlineStr"/>
      <c r="F864" t="n">
        <v>2500</v>
      </c>
      <c r="G864" t="inlineStr">
        <is>
          <t>possible</t>
        </is>
      </c>
      <c r="H864" t="inlineStr"/>
      <c r="I864" t="inlineStr">
        <is>
          <t>none</t>
        </is>
      </c>
      <c r="J864" t="inlineStr">
        <is>
          <t>candidate</t>
        </is>
      </c>
      <c r="K864" t="inlineStr">
        <is>
          <t>Medium</t>
        </is>
      </c>
      <c r="L864" t="inlineStr">
        <is>
          <t>windows-of-attraction/2026-wdw/country-bear-jamboree</t>
        </is>
      </c>
    </row>
    <row r="865">
      <c r="A865" t="inlineStr">
        <is>
          <t>PHS-0296</t>
        </is>
      </c>
      <c r="B865" t="n">
        <v>3</v>
      </c>
      <c r="C865" t="inlineStr">
        <is>
          <t>Hatbox Ghost</t>
        </is>
      </c>
      <c r="D865" t="inlineStr">
        <is>
          <t>Hatbox Ghost – Windows of Attraction</t>
        </is>
      </c>
      <c r="E865" t="inlineStr"/>
      <c r="F865" t="n">
        <v>2500</v>
      </c>
      <c r="G865" t="inlineStr">
        <is>
          <t>possible</t>
        </is>
      </c>
      <c r="H865" t="inlineStr">
        <is>
          <t>PHUK-00000069</t>
        </is>
      </c>
      <c r="I865" t="inlineStr">
        <is>
          <t>none</t>
        </is>
      </c>
      <c r="J865" t="inlineStr">
        <is>
          <t>candidate</t>
        </is>
      </c>
      <c r="K865" t="inlineStr">
        <is>
          <t>Medium</t>
        </is>
      </c>
      <c r="L865" t="inlineStr">
        <is>
          <t>windows-of-attraction/2026-wdw/haunted-mansion</t>
        </is>
      </c>
    </row>
    <row r="866">
      <c r="A866" t="inlineStr">
        <is>
          <t>PHS-0296</t>
        </is>
      </c>
      <c r="B866" t="n">
        <v>4</v>
      </c>
      <c r="C866" t="inlineStr">
        <is>
          <t>Figment</t>
        </is>
      </c>
      <c r="D866" t="inlineStr">
        <is>
          <t>Figment – Windows of Attraction</t>
        </is>
      </c>
      <c r="E866" t="inlineStr"/>
      <c r="F866" t="n">
        <v>2500</v>
      </c>
      <c r="G866" t="inlineStr">
        <is>
          <t>possible</t>
        </is>
      </c>
      <c r="H866" t="inlineStr">
        <is>
          <t>PHUK-00000075</t>
        </is>
      </c>
      <c r="I866" t="inlineStr">
        <is>
          <t>none</t>
        </is>
      </c>
      <c r="J866" t="inlineStr">
        <is>
          <t>candidate</t>
        </is>
      </c>
      <c r="K866" t="inlineStr">
        <is>
          <t>Low</t>
        </is>
      </c>
      <c r="L866" t="inlineStr">
        <is>
          <t>windows-of-attraction/2026-wdw/journey-into-imagination-with-figment</t>
        </is>
      </c>
    </row>
    <row r="867">
      <c r="A867" t="inlineStr">
        <is>
          <t>PHS-0296</t>
        </is>
      </c>
      <c r="B867" t="n">
        <v>5</v>
      </c>
      <c r="C867" t="inlineStr"/>
      <c r="D867" t="inlineStr">
        <is>
          <t>Kilimanjaro Safaris – Windows of Attraction</t>
        </is>
      </c>
      <c r="E867" t="inlineStr"/>
      <c r="F867" t="n">
        <v>2500</v>
      </c>
      <c r="G867" t="inlineStr">
        <is>
          <t>possible</t>
        </is>
      </c>
      <c r="H867" t="inlineStr">
        <is>
          <t>PHUK-00000072</t>
        </is>
      </c>
      <c r="I867" t="inlineStr">
        <is>
          <t>none</t>
        </is>
      </c>
      <c r="J867" t="inlineStr">
        <is>
          <t>candidate</t>
        </is>
      </c>
      <c r="K867" t="inlineStr">
        <is>
          <t>Low</t>
        </is>
      </c>
      <c r="L867" t="inlineStr">
        <is>
          <t>windows-of-attraction/2026-wdw/kilimanjaro-safaris</t>
        </is>
      </c>
    </row>
    <row r="868">
      <c r="A868" t="inlineStr">
        <is>
          <t>PHS-0296</t>
        </is>
      </c>
      <c r="B868" t="n">
        <v>6</v>
      </c>
      <c r="C868" t="inlineStr"/>
      <c r="D868" t="inlineStr">
        <is>
          <t>Seven Dwarfs Mine Train – Windows of Attraction</t>
        </is>
      </c>
      <c r="E868" t="inlineStr"/>
      <c r="F868" t="n">
        <v>2500</v>
      </c>
      <c r="G868" t="inlineStr">
        <is>
          <t>possible</t>
        </is>
      </c>
      <c r="H868" t="inlineStr">
        <is>
          <t>PHUK-00000071</t>
        </is>
      </c>
      <c r="I868" t="inlineStr">
        <is>
          <t>none</t>
        </is>
      </c>
      <c r="J868" t="inlineStr">
        <is>
          <t>candidate</t>
        </is>
      </c>
      <c r="K868" t="inlineStr">
        <is>
          <t>Low</t>
        </is>
      </c>
      <c r="L868" t="inlineStr">
        <is>
          <t>windows-of-attraction/2026-wdw/seven-dwarfs-mine-train</t>
        </is>
      </c>
    </row>
    <row r="869">
      <c r="A869" t="inlineStr">
        <is>
          <t>PHS-0296</t>
        </is>
      </c>
      <c r="B869" t="n">
        <v>7</v>
      </c>
      <c r="C869" t="inlineStr">
        <is>
          <t>Winnie the Pooh</t>
        </is>
      </c>
      <c r="D869" t="inlineStr">
        <is>
          <t>Windows of Attraction - Winnie the Pooh</t>
        </is>
      </c>
      <c r="E869" t="inlineStr"/>
      <c r="F869" t="n">
        <v>2500</v>
      </c>
      <c r="G869" t="inlineStr">
        <is>
          <t>possible</t>
        </is>
      </c>
      <c r="H869" t="inlineStr">
        <is>
          <t>PHUK-00000074</t>
        </is>
      </c>
      <c r="I869" t="inlineStr">
        <is>
          <t>none</t>
        </is>
      </c>
      <c r="J869" t="inlineStr">
        <is>
          <t>candidate</t>
        </is>
      </c>
      <c r="K869" t="inlineStr">
        <is>
          <t>Medium</t>
        </is>
      </c>
      <c r="L869" t="inlineStr">
        <is>
          <t>windows-of-attraction/2026-wdw/the-many-adventures-of-winnie-the-pooh</t>
        </is>
      </c>
    </row>
    <row r="870">
      <c r="A870" t="inlineStr">
        <is>
          <t>PHS-0296</t>
        </is>
      </c>
      <c r="B870" t="n">
        <v>8</v>
      </c>
      <c r="C870" t="inlineStr"/>
      <c r="D870" t="inlineStr">
        <is>
          <t>The Twilight Zone Tower of Terror – Windows of Attraction</t>
        </is>
      </c>
      <c r="E870" t="inlineStr"/>
      <c r="F870" t="n">
        <v>2500</v>
      </c>
      <c r="G870" t="inlineStr">
        <is>
          <t>possible</t>
        </is>
      </c>
      <c r="H870" t="inlineStr">
        <is>
          <t>PHUK-00000073</t>
        </is>
      </c>
      <c r="I870" t="inlineStr">
        <is>
          <t>none</t>
        </is>
      </c>
      <c r="J870" t="inlineStr">
        <is>
          <t>candidate</t>
        </is>
      </c>
      <c r="K870" t="inlineStr">
        <is>
          <t>Low</t>
        </is>
      </c>
      <c r="L870" t="inlineStr">
        <is>
          <t>windows-of-attraction/2026-wdw/twilight-zone-tower-of-terror</t>
        </is>
      </c>
    </row>
    <row r="871">
      <c r="A871" t="inlineStr">
        <is>
          <t>PHS-0296</t>
        </is>
      </c>
      <c r="B871" t="n">
        <v>9</v>
      </c>
      <c r="C871" t="inlineStr"/>
      <c r="D871" t="inlineStr">
        <is>
          <t>Windows of Attraction: Enchanted Tiki Room</t>
        </is>
      </c>
      <c r="E871" t="inlineStr"/>
      <c r="F871" t="n">
        <v>2500</v>
      </c>
      <c r="G871" t="inlineStr">
        <is>
          <t>possible</t>
        </is>
      </c>
      <c r="H871" t="inlineStr"/>
      <c r="I871" t="inlineStr">
        <is>
          <t>none</t>
        </is>
      </c>
      <c r="J871" t="inlineStr">
        <is>
          <t>candidate</t>
        </is>
      </c>
      <c r="K871" t="inlineStr">
        <is>
          <t>Medium</t>
        </is>
      </c>
      <c r="L871" t="inlineStr">
        <is>
          <t>windows-of-attraction/2026-wdw/walt-disney-s-enchanted-tiki-room</t>
        </is>
      </c>
    </row>
    <row r="872">
      <c r="A872" t="inlineStr">
        <is>
          <t>PHS-0296</t>
        </is>
      </c>
      <c r="B872" t="n">
        <v>10</v>
      </c>
      <c r="C872" t="inlineStr"/>
      <c r="D872" t="inlineStr">
        <is>
          <t>Walt Disney World Railroad – Windows of Attraction</t>
        </is>
      </c>
      <c r="E872" t="inlineStr"/>
      <c r="F872" t="n">
        <v>2500</v>
      </c>
      <c r="G872" t="inlineStr">
        <is>
          <t>possible</t>
        </is>
      </c>
      <c r="H872" t="inlineStr">
        <is>
          <t>PHUK-00000070</t>
        </is>
      </c>
      <c r="I872" t="inlineStr">
        <is>
          <t>none</t>
        </is>
      </c>
      <c r="J872" t="inlineStr">
        <is>
          <t>candidate</t>
        </is>
      </c>
      <c r="K872" t="inlineStr">
        <is>
          <t>Low</t>
        </is>
      </c>
      <c r="L872" t="inlineStr">
        <is>
          <t>windows-of-attraction/2026-wdw/walt-disney-world-railroad</t>
        </is>
      </c>
    </row>
  </sheetData>
  <dataValidations count="1">
    <dataValidation sqref="I2:I2871" showDropDown="0" showInputMessage="0" showErrorMessage="0" allowBlank="1" type="list">
      <formula1>Lookups!$E$2:$E$7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0" customWidth="1" min="2" max="2"/>
    <col width="26" customWidth="1" min="3" max="3"/>
    <col width="16" customWidth="1" min="4" max="4"/>
    <col width="16" customWidth="1" min="5" max="5"/>
    <col width="30" customWidth="1" min="6" max="6"/>
    <col width="16" customWidth="1" min="7" max="7"/>
    <col width="16" customWidth="1" min="8" max="8"/>
  </cols>
  <sheetData>
    <row r="1">
      <c r="A1" s="2" t="inlineStr">
        <is>
          <t>set_id</t>
        </is>
      </c>
      <c r="B1" s="2" t="inlineStr">
        <is>
          <t>source_url</t>
        </is>
      </c>
      <c r="C1" s="2" t="inlineStr">
        <is>
          <t>publisher</t>
        </is>
      </c>
      <c r="D1" s="2" t="inlineStr">
        <is>
          <t>source_class</t>
        </is>
      </c>
      <c r="E1" s="2" t="inlineStr">
        <is>
          <t>accessed_via</t>
        </is>
      </c>
      <c r="F1" s="2" t="inlineStr">
        <is>
          <t>fields_confirmed</t>
        </is>
      </c>
      <c r="G1" s="2" t="inlineStr">
        <is>
          <t>checked_by</t>
        </is>
      </c>
      <c r="H1" s="2" t="inlineStr">
        <is>
          <t>checked_at</t>
        </is>
      </c>
    </row>
    <row r="2">
      <c r="A2" t="inlineStr">
        <is>
          <t>PHS-0001</t>
        </is>
      </c>
      <c r="B2" t="inlineStr">
        <is>
          <t>https://www.disneystore.asia/my/disney-animated-cuties-mystery-2-piece-pin-blind-pack-438030755384.html</t>
        </is>
      </c>
      <c r="C2" t="inlineStr">
        <is>
          <t>disneystore.asia</t>
        </is>
      </c>
      <c r="D2" t="inlineStr">
        <is>
          <t>official</t>
        </is>
      </c>
      <c r="E2" t="inlineStr">
        <is>
          <t>search snippet / page</t>
        </is>
      </c>
      <c r="F2" t="inlineStr"/>
      <c r="G2" t="inlineStr"/>
      <c r="H2" t="inlineStr"/>
    </row>
    <row r="3">
      <c r="A3" t="inlineStr">
        <is>
          <t>PHS-0001</t>
        </is>
      </c>
      <c r="B3" t="inlineStr">
        <is>
          <t>https://www.disneystore.com/disney-animated-cuties-mystery-pin-blind-pack-2-pc.-438030741301.html</t>
        </is>
      </c>
      <c r="C3" t="inlineStr">
        <is>
          <t>disneystore.com</t>
        </is>
      </c>
      <c r="D3" t="inlineStr">
        <is>
          <t>official</t>
        </is>
      </c>
      <c r="E3" t="inlineStr">
        <is>
          <t>search snippet / page</t>
        </is>
      </c>
      <c r="F3" t="inlineStr"/>
      <c r="G3" t="inlineStr"/>
      <c r="H3" t="inlineStr"/>
    </row>
    <row r="4">
      <c r="A4" t="inlineStr">
        <is>
          <t>PHS-0001</t>
        </is>
      </c>
      <c r="B4" t="inlineStr">
        <is>
          <t>https://www.disneystore.eu/disney-animated-cuties-mystery-pin-set-438030755384.html</t>
        </is>
      </c>
      <c r="C4" t="inlineStr">
        <is>
          <t>disneystore.eu</t>
        </is>
      </c>
      <c r="D4" t="inlineStr">
        <is>
          <t>official</t>
        </is>
      </c>
      <c r="E4" t="inlineStr">
        <is>
          <t>search snippet / page</t>
        </is>
      </c>
      <c r="F4" t="inlineStr"/>
      <c r="G4" t="inlineStr"/>
      <c r="H4" t="inlineStr"/>
    </row>
    <row r="5">
      <c r="A5" t="inlineStr">
        <is>
          <t>PHS-0001</t>
        </is>
      </c>
      <c r="B5" t="inlineStr">
        <is>
          <t>https://disneymouseketeer.com/disney-animated-cuties-mystery-pin-set-at-disney-store-disney-parks/</t>
        </is>
      </c>
      <c r="C5" t="inlineStr">
        <is>
          <t>disneymouseketeer.com</t>
        </is>
      </c>
      <c r="D5" t="inlineStr">
        <is>
          <t>secondary</t>
        </is>
      </c>
      <c r="E5" t="inlineStr">
        <is>
          <t>search snippet / page</t>
        </is>
      </c>
      <c r="F5" t="inlineStr"/>
      <c r="G5" t="inlineStr"/>
      <c r="H5" t="inlineStr"/>
    </row>
    <row r="6">
      <c r="A6" t="inlineStr">
        <is>
          <t>PHS-0001</t>
        </is>
      </c>
      <c r="B6" t="inlineStr">
        <is>
          <t>https://disneypinsblog.com/blogs/news/animated-cuties-mystery-pin-set-at-disney-parks</t>
        </is>
      </c>
      <c r="C6" t="inlineStr">
        <is>
          <t>disneypinsblog.com</t>
        </is>
      </c>
      <c r="D6" t="inlineStr">
        <is>
          <t>secondary</t>
        </is>
      </c>
      <c r="E6" t="inlineStr">
        <is>
          <t>search snippet / page</t>
        </is>
      </c>
      <c r="F6" t="inlineStr"/>
      <c r="G6" t="inlineStr"/>
      <c r="H6" t="inlineStr"/>
    </row>
    <row r="7">
      <c r="A7" t="inlineStr">
        <is>
          <t>PHS-0001</t>
        </is>
      </c>
      <c r="B7" t="inlineStr">
        <is>
          <t>https://wdwnt.com/2026/01/animated-cuties-mystery-pin-box/</t>
        </is>
      </c>
      <c r="C7" t="inlineStr">
        <is>
          <t>wdwnt.com</t>
        </is>
      </c>
      <c r="D7" t="inlineStr">
        <is>
          <t>secondary</t>
        </is>
      </c>
      <c r="E7" t="inlineStr">
        <is>
          <t>search snippet / page</t>
        </is>
      </c>
      <c r="F7" t="inlineStr"/>
      <c r="G7" t="inlineStr"/>
      <c r="H7" t="inlineStr"/>
    </row>
    <row r="8">
      <c r="A8" t="inlineStr">
        <is>
          <t>PHS-0002</t>
        </is>
      </c>
      <c r="B8" t="inlineStr">
        <is>
          <t>https://disneypinsblog.com/blogs/news/animated-cuties-series-2-mystery-pin-set-at-disney-parks</t>
        </is>
      </c>
      <c r="C8" t="inlineStr">
        <is>
          <t>disneypinsblog.com</t>
        </is>
      </c>
      <c r="D8" t="inlineStr">
        <is>
          <t>secondary</t>
        </is>
      </c>
      <c r="E8" t="inlineStr">
        <is>
          <t>search snippet / page</t>
        </is>
      </c>
      <c r="F8" t="inlineStr"/>
      <c r="G8" t="inlineStr"/>
      <c r="H8" t="inlineStr"/>
    </row>
    <row r="9">
      <c r="A9" t="inlineStr">
        <is>
          <t>PHS-0002</t>
        </is>
      </c>
      <c r="B9" t="inlineStr">
        <is>
          <t>https://www.threads.com/@disneypinsblog/post/DeS8m9FjKzi/new-animated-cuties-series-mystery-pin-set-at-disney-parks-open-edition-and-the/</t>
        </is>
      </c>
      <c r="C9" t="inlineStr">
        <is>
          <t>threads.com</t>
        </is>
      </c>
      <c r="D9" t="inlineStr">
        <is>
          <t>secondary</t>
        </is>
      </c>
      <c r="E9" t="inlineStr">
        <is>
          <t>search snippet / page</t>
        </is>
      </c>
      <c r="F9" t="inlineStr"/>
      <c r="G9" t="inlineStr"/>
      <c r="H9" t="inlineStr"/>
    </row>
    <row r="10">
      <c r="A10" t="inlineStr">
        <is>
          <t>PHS-0003</t>
        </is>
      </c>
      <c r="B10" t="inlineStr">
        <is>
          <t>https://www.disneystore.asia/hercules-limited-edition-pin-brush-of-magic-438010541600.html</t>
        </is>
      </c>
      <c r="C10" t="inlineStr">
        <is>
          <t>disneystore.asia</t>
        </is>
      </c>
      <c r="D10" t="inlineStr">
        <is>
          <t>official</t>
        </is>
      </c>
      <c r="E10" t="inlineStr">
        <is>
          <t>search snippet / page</t>
        </is>
      </c>
      <c r="F10" t="inlineStr"/>
      <c r="G10" t="inlineStr"/>
      <c r="H10" t="inlineStr"/>
    </row>
    <row r="11">
      <c r="A11" t="inlineStr">
        <is>
          <t>PHS-0003</t>
        </is>
      </c>
      <c r="B11" t="inlineStr">
        <is>
          <t>https://www.disneystore.asia/maleficent-limited-edition-pin-sleeping-beauty-brush-of-magic-438010541112.html</t>
        </is>
      </c>
      <c r="C11" t="inlineStr">
        <is>
          <t>disneystore.asia</t>
        </is>
      </c>
      <c r="D11" t="inlineStr">
        <is>
          <t>official</t>
        </is>
      </c>
      <c r="E11" t="inlineStr">
        <is>
          <t>search snippet / page</t>
        </is>
      </c>
      <c r="F11" t="inlineStr"/>
      <c r="G11" t="inlineStr"/>
      <c r="H11" t="inlineStr"/>
    </row>
    <row r="12">
      <c r="A12" t="inlineStr">
        <is>
          <t>PHS-0003</t>
        </is>
      </c>
      <c r="B12" t="inlineStr">
        <is>
          <t>https://www.disneystore.asia/sorcerer-mickey-mouse-limited-edition-pin-fantasia%C2%A0brush-of-magic-438010540955.html</t>
        </is>
      </c>
      <c r="C12" t="inlineStr">
        <is>
          <t>disneystore.asia</t>
        </is>
      </c>
      <c r="D12" t="inlineStr">
        <is>
          <t>official</t>
        </is>
      </c>
      <c r="E12" t="inlineStr">
        <is>
          <t>search snippet / page</t>
        </is>
      </c>
      <c r="F12" t="inlineStr"/>
      <c r="G12" t="inlineStr"/>
      <c r="H12" t="inlineStr"/>
    </row>
    <row r="13">
      <c r="A13" t="inlineStr">
        <is>
          <t>PHS-0003</t>
        </is>
      </c>
      <c r="B13" t="inlineStr">
        <is>
          <t>https://www.disneystore.co.uk/marie-limited-edition-pin-the-aristocats-brush-of-magic-438010541945.html</t>
        </is>
      </c>
      <c r="C13" t="inlineStr">
        <is>
          <t>disneystore.co.uk</t>
        </is>
      </c>
      <c r="D13" t="inlineStr">
        <is>
          <t>official</t>
        </is>
      </c>
      <c r="E13" t="inlineStr">
        <is>
          <t>search snippet / page</t>
        </is>
      </c>
      <c r="F13" t="inlineStr"/>
      <c r="G13" t="inlineStr"/>
      <c r="H13" t="inlineStr"/>
    </row>
    <row r="14">
      <c r="A14" t="inlineStr">
        <is>
          <t>PHS-0003</t>
        </is>
      </c>
      <c r="B14" t="inlineStr">
        <is>
          <t>https://www.disneystore.com.au/dumbo-limited-edition-pin-brush-of-magic-438010896533.html</t>
        </is>
      </c>
      <c r="C14" t="inlineStr">
        <is>
          <t>disneystore.com.au</t>
        </is>
      </c>
      <c r="D14" t="inlineStr">
        <is>
          <t>official</t>
        </is>
      </c>
      <c r="E14" t="inlineStr">
        <is>
          <t>search snippet / page</t>
        </is>
      </c>
      <c r="F14" t="inlineStr"/>
      <c r="G14" t="inlineStr"/>
      <c r="H14" t="inlineStr"/>
    </row>
    <row r="15">
      <c r="A15" t="inlineStr">
        <is>
          <t>PHS-0003</t>
        </is>
      </c>
      <c r="B15" t="inlineStr">
        <is>
          <t>https://www.disneystore.com.au/sorcerer-mickey-mouse-limited-edition-pin-fantasia%C2%A0brush-of-magic-438010540955.html</t>
        </is>
      </c>
      <c r="C15" t="inlineStr">
        <is>
          <t>disneystore.com.au</t>
        </is>
      </c>
      <c r="D15" t="inlineStr">
        <is>
          <t>official</t>
        </is>
      </c>
      <c r="E15" t="inlineStr">
        <is>
          <t>search snippet / page</t>
        </is>
      </c>
      <c r="F15" t="inlineStr"/>
      <c r="G15" t="inlineStr"/>
      <c r="H15" t="inlineStr"/>
    </row>
    <row r="16">
      <c r="A16" t="inlineStr">
        <is>
          <t>PHS-0004</t>
        </is>
      </c>
      <c r="B16" t="inlineStr">
        <is>
          <t>https://www.disneystore.co.uk/disney-brush-of-magic-limited-release-mystery-pin-set-438030648549.html</t>
        </is>
      </c>
      <c r="C16" t="inlineStr">
        <is>
          <t>disneystore.co.uk</t>
        </is>
      </c>
      <c r="D16" t="inlineStr">
        <is>
          <t>official</t>
        </is>
      </c>
      <c r="E16" t="inlineStr">
        <is>
          <t>search snippet / page</t>
        </is>
      </c>
      <c r="F16" t="inlineStr"/>
      <c r="G16" t="inlineStr"/>
      <c r="H16" t="inlineStr"/>
    </row>
    <row r="17">
      <c r="A17" t="inlineStr">
        <is>
          <t>PHS-0004</t>
        </is>
      </c>
      <c r="B17" t="inlineStr">
        <is>
          <t>https://www.disneystore.com.au/disney-brush-of-magic-2-piece-mystery-pin-blind-pack-series-1-438030648549.html</t>
        </is>
      </c>
      <c r="C17" t="inlineStr">
        <is>
          <t>disneystore.com.au</t>
        </is>
      </c>
      <c r="D17" t="inlineStr">
        <is>
          <t>official</t>
        </is>
      </c>
      <c r="E17" t="inlineStr">
        <is>
          <t>search snippet / page</t>
        </is>
      </c>
      <c r="F17" t="inlineStr"/>
      <c r="G17" t="inlineStr"/>
      <c r="H17" t="inlineStr"/>
    </row>
    <row r="18">
      <c r="A18" t="inlineStr">
        <is>
          <t>PHS-0004</t>
        </is>
      </c>
      <c r="B18" t="inlineStr">
        <is>
          <t>https://www.disneystore.com/disney-brush-of-magic-mystery-pin-blind-pack-series-1-%C2%A02-pc.-limited-release-438010101590.html</t>
        </is>
      </c>
      <c r="C18" t="inlineStr">
        <is>
          <t>disneystore.com</t>
        </is>
      </c>
      <c r="D18" t="inlineStr">
        <is>
          <t>official</t>
        </is>
      </c>
      <c r="E18" t="inlineStr">
        <is>
          <t>search snippet / page</t>
        </is>
      </c>
      <c r="F18" t="inlineStr"/>
      <c r="G18" t="inlineStr"/>
      <c r="H18" t="inlineStr"/>
    </row>
    <row r="19">
      <c r="A19" t="inlineStr">
        <is>
          <t>PHS-0004</t>
        </is>
      </c>
      <c r="B19" t="inlineStr">
        <is>
          <t>https://disneypinsblog.com/blogs/news/brush-of-magic-series-1-mystery-pin-set-at-disney-store</t>
        </is>
      </c>
      <c r="C19" t="inlineStr">
        <is>
          <t>disneypinsblog.com</t>
        </is>
      </c>
      <c r="D19" t="inlineStr">
        <is>
          <t>secondary</t>
        </is>
      </c>
      <c r="E19" t="inlineStr">
        <is>
          <t>search snippet / page</t>
        </is>
      </c>
      <c r="F19" t="inlineStr"/>
      <c r="G19" t="inlineStr"/>
      <c r="H19" t="inlineStr"/>
    </row>
    <row r="20">
      <c r="A20" t="inlineStr">
        <is>
          <t>PHS-0004</t>
        </is>
      </c>
      <c r="B20" t="inlineStr">
        <is>
          <t>https://disneypinventory.com/view_item.php?itemID=50286</t>
        </is>
      </c>
      <c r="C20" t="inlineStr">
        <is>
          <t>disneypinventory.com</t>
        </is>
      </c>
      <c r="D20" t="inlineStr">
        <is>
          <t>secondary</t>
        </is>
      </c>
      <c r="E20" t="inlineStr">
        <is>
          <t>search snippet / page</t>
        </is>
      </c>
      <c r="F20" t="inlineStr"/>
      <c r="G20" t="inlineStr"/>
      <c r="H20" t="inlineStr"/>
    </row>
    <row r="21">
      <c r="A21" t="inlineStr">
        <is>
          <t>PHS-0005</t>
        </is>
      </c>
      <c r="B21" t="inlineStr">
        <is>
          <t>https://disneypinsblog.com/brush-of-magic-series-2-mystery-pin-set-at-disney-store/</t>
        </is>
      </c>
      <c r="C21" t="inlineStr">
        <is>
          <t>disneypinsblog.com</t>
        </is>
      </c>
      <c r="D21" t="inlineStr">
        <is>
          <t>secondary</t>
        </is>
      </c>
      <c r="E21" t="inlineStr">
        <is>
          <t>search snippet / page</t>
        </is>
      </c>
      <c r="F21" t="inlineStr"/>
      <c r="G21" t="inlineStr"/>
      <c r="H21" t="inlineStr"/>
    </row>
    <row r="22">
      <c r="A22" t="inlineStr">
        <is>
          <t>PHS-0005</t>
        </is>
      </c>
      <c r="B22" t="inlineStr">
        <is>
          <t>https://www.dismerchandise.com/2026/06/16/disney-brush-of-magic-mystery-pin-blind-pack-series-2-2-pc-limited-release/</t>
        </is>
      </c>
      <c r="C22" t="inlineStr">
        <is>
          <t>dismerchandise.com</t>
        </is>
      </c>
      <c r="D22" t="inlineStr">
        <is>
          <t>secondary</t>
        </is>
      </c>
      <c r="E22" t="inlineStr">
        <is>
          <t>search snippet / page</t>
        </is>
      </c>
      <c r="F22" t="inlineStr"/>
      <c r="G22" t="inlineStr"/>
      <c r="H22" t="inlineStr"/>
    </row>
    <row r="23">
      <c r="A23" t="inlineStr">
        <is>
          <t>PHS-0005</t>
        </is>
      </c>
      <c r="B23" t="inlineStr">
        <is>
          <t>https://www.extramagicminutes.com/blog/disney-brush-of-magic-pin-series-collection-disney-store-2026</t>
        </is>
      </c>
      <c r="C23" t="inlineStr">
        <is>
          <t>extramagicminutes.com</t>
        </is>
      </c>
      <c r="D23" t="inlineStr">
        <is>
          <t>secondary</t>
        </is>
      </c>
      <c r="E23" t="inlineStr">
        <is>
          <t>search snippet / page</t>
        </is>
      </c>
      <c r="F23" t="inlineStr"/>
      <c r="G23" t="inlineStr"/>
      <c r="H23" t="inlineStr"/>
    </row>
    <row r="24">
      <c r="A24" t="inlineStr">
        <is>
          <t>PHS-0005</t>
        </is>
      </c>
      <c r="B24" t="inlineStr">
        <is>
          <t>https://www.laughingplace.com/disney-merchandise/disney-store-pin-drop-june-2026/</t>
        </is>
      </c>
      <c r="C24" t="inlineStr">
        <is>
          <t>laughingplace.com</t>
        </is>
      </c>
      <c r="D24" t="inlineStr">
        <is>
          <t>secondary</t>
        </is>
      </c>
      <c r="E24" t="inlineStr">
        <is>
          <t>search snippet / page</t>
        </is>
      </c>
      <c r="F24" t="inlineStr"/>
      <c r="G24" t="inlineStr"/>
      <c r="H24" t="inlineStr"/>
    </row>
    <row r="25">
      <c r="A25" t="inlineStr">
        <is>
          <t>PHS-0006</t>
        </is>
      </c>
      <c r="B25" t="inlineStr">
        <is>
          <t>https://www.disneystore.asia/my/disney-brush-of-magic-series-3-limited-release-mystery-pin-set-438011184943.html</t>
        </is>
      </c>
      <c r="C25" t="inlineStr">
        <is>
          <t>disneystore.asia</t>
        </is>
      </c>
      <c r="D25" t="inlineStr">
        <is>
          <t>official</t>
        </is>
      </c>
      <c r="E25" t="inlineStr">
        <is>
          <t>search snippet / page</t>
        </is>
      </c>
      <c r="F25" t="inlineStr"/>
      <c r="G25" t="inlineStr"/>
      <c r="H25" t="inlineStr"/>
    </row>
    <row r="26">
      <c r="A26" t="inlineStr">
        <is>
          <t>PHS-0006</t>
        </is>
      </c>
      <c r="B26" t="inlineStr">
        <is>
          <t>https://www.disneystore.co.uk/disney-brush-of-magic-series-3-limited-release-mystery-pin-set-438011184943.html</t>
        </is>
      </c>
      <c r="C26" t="inlineStr">
        <is>
          <t>disneystore.co.uk</t>
        </is>
      </c>
      <c r="D26" t="inlineStr">
        <is>
          <t>official</t>
        </is>
      </c>
      <c r="E26" t="inlineStr">
        <is>
          <t>search snippet / page</t>
        </is>
      </c>
      <c r="F26" t="inlineStr"/>
      <c r="G26" t="inlineStr"/>
      <c r="H26" t="inlineStr"/>
    </row>
    <row r="27">
      <c r="A27" t="inlineStr">
        <is>
          <t>PHS-0006</t>
        </is>
      </c>
      <c r="B27" t="inlineStr">
        <is>
          <t>https://www.disneystore.com/disney-brush-of-magic-mystery-pin-blind-pack-series-3-%C2%A02-pc.-limited-release-438010809137.html</t>
        </is>
      </c>
      <c r="C27" t="inlineStr">
        <is>
          <t>disneystore.com</t>
        </is>
      </c>
      <c r="D27" t="inlineStr">
        <is>
          <t>official</t>
        </is>
      </c>
      <c r="E27" t="inlineStr">
        <is>
          <t>search snippet / page</t>
        </is>
      </c>
      <c r="F27" t="inlineStr"/>
      <c r="G27" t="inlineStr"/>
      <c r="H27" t="inlineStr"/>
    </row>
    <row r="28">
      <c r="A28" t="inlineStr">
        <is>
          <t>PHS-0006</t>
        </is>
      </c>
      <c r="B28" t="inlineStr">
        <is>
          <t>https://disneypinsblog.com/brush-of-magic-series-3-mystery-pin-set-at-disney-store/</t>
        </is>
      </c>
      <c r="C28" t="inlineStr">
        <is>
          <t>disneypinsblog.com</t>
        </is>
      </c>
      <c r="D28" t="inlineStr">
        <is>
          <t>secondary</t>
        </is>
      </c>
      <c r="E28" t="inlineStr">
        <is>
          <t>search snippet / page</t>
        </is>
      </c>
      <c r="F28" t="inlineStr"/>
      <c r="G28" t="inlineStr"/>
      <c r="H28" t="inlineStr"/>
    </row>
    <row r="29">
      <c r="A29" t="inlineStr">
        <is>
          <t>PHS-0006</t>
        </is>
      </c>
      <c r="B29" t="inlineStr">
        <is>
          <t>https://www.dismerchandise.com/2026/09/04/disney-brush-of-magic-mystery-pin-blind-pack-series-3-2-pc-limited-release/</t>
        </is>
      </c>
      <c r="C29" t="inlineStr">
        <is>
          <t>dismerchandise.com</t>
        </is>
      </c>
      <c r="D29" t="inlineStr">
        <is>
          <t>secondary</t>
        </is>
      </c>
      <c r="E29" t="inlineStr">
        <is>
          <t>search snippet / page</t>
        </is>
      </c>
      <c r="F29" t="inlineStr"/>
      <c r="G29" t="inlineStr"/>
      <c r="H29" t="inlineStr"/>
    </row>
    <row r="30">
      <c r="A30" t="inlineStr">
        <is>
          <t>PHS-0007</t>
        </is>
      </c>
      <c r="B30" t="inlineStr">
        <is>
          <t>https://www.disneystore.co.uk/disney-classics-london-pin-set-438030541031.html</t>
        </is>
      </c>
      <c r="C30" t="inlineStr">
        <is>
          <t>disneystore.co.uk</t>
        </is>
      </c>
      <c r="D30" t="inlineStr">
        <is>
          <t>official</t>
        </is>
      </c>
      <c r="E30" t="inlineStr">
        <is>
          <t>search snippet / page</t>
        </is>
      </c>
      <c r="F30" t="inlineStr"/>
      <c r="G30" t="inlineStr"/>
      <c r="H30" t="inlineStr"/>
    </row>
    <row r="31">
      <c r="A31" t="inlineStr">
        <is>
          <t>PHS-0008</t>
        </is>
      </c>
      <c r="B31" t="inlineStr">
        <is>
          <t>https://www.laughingplace.com/w/disney-parks/disneyland-paris-march-2024-pin-release-schedule/</t>
        </is>
      </c>
      <c r="C31" t="inlineStr">
        <is>
          <t>laughingplace.com</t>
        </is>
      </c>
      <c r="D31" t="inlineStr">
        <is>
          <t>secondary</t>
        </is>
      </c>
      <c r="E31" t="inlineStr">
        <is>
          <t>search snippet / page</t>
        </is>
      </c>
      <c r="F31" t="inlineStr"/>
      <c r="G31" t="inlineStr"/>
      <c r="H31" t="inlineStr"/>
    </row>
    <row r="32">
      <c r="A32" t="inlineStr">
        <is>
          <t>PHS-0008</t>
        </is>
      </c>
      <c r="B32" t="inlineStr">
        <is>
          <t>https://www.mousesteps.com/2024/02/28/disneyland-paris-march-2024-pin-release-schedule-revealed-including-stitch-and-tinker-bell-pins/</t>
        </is>
      </c>
      <c r="C32" t="inlineStr">
        <is>
          <t>mousesteps.com</t>
        </is>
      </c>
      <c r="D32" t="inlineStr">
        <is>
          <t>secondary</t>
        </is>
      </c>
      <c r="E32" t="inlineStr">
        <is>
          <t>search snippet / page</t>
        </is>
      </c>
      <c r="F32" t="inlineStr"/>
      <c r="G32" t="inlineStr"/>
      <c r="H32" t="inlineStr"/>
    </row>
    <row r="33">
      <c r="A33" t="inlineStr">
        <is>
          <t>PHS-0009</t>
        </is>
      </c>
      <c r="B33" t="inlineStr">
        <is>
          <t>https://www.laughingplace.com/w/disney-parks/disneyland-paris-march-2024-pin-release-schedule/</t>
        </is>
      </c>
      <c r="C33" t="inlineStr">
        <is>
          <t>laughingplace.com</t>
        </is>
      </c>
      <c r="D33" t="inlineStr">
        <is>
          <t>secondary</t>
        </is>
      </c>
      <c r="E33" t="inlineStr">
        <is>
          <t>search snippet / page</t>
        </is>
      </c>
      <c r="F33" t="inlineStr"/>
      <c r="G33" t="inlineStr"/>
      <c r="H33" t="inlineStr"/>
    </row>
    <row r="34">
      <c r="A34" t="inlineStr">
        <is>
          <t>PHS-0009</t>
        </is>
      </c>
      <c r="B34" t="inlineStr">
        <is>
          <t>https://www.mousesteps.com/2024/02/28/disneyland-paris-march-2024-pin-release-schedule-revealed-including-stitch-and-tinker-bell-pins/</t>
        </is>
      </c>
      <c r="C34" t="inlineStr">
        <is>
          <t>mousesteps.com</t>
        </is>
      </c>
      <c r="D34" t="inlineStr">
        <is>
          <t>secondary</t>
        </is>
      </c>
      <c r="E34" t="inlineStr">
        <is>
          <t>search snippet / page</t>
        </is>
      </c>
      <c r="F34" t="inlineStr"/>
      <c r="G34" t="inlineStr"/>
      <c r="H34" t="inlineStr"/>
    </row>
    <row r="35">
      <c r="A35" t="inlineStr">
        <is>
          <t>PHS-0010</t>
        </is>
      </c>
      <c r="B35" t="inlineStr">
        <is>
          <t>https://www.laughingplace.com/w/disney-parks/disneyland-paris-april-2024-pin-release-schedule/</t>
        </is>
      </c>
      <c r="C35" t="inlineStr">
        <is>
          <t>laughingplace.com</t>
        </is>
      </c>
      <c r="D35" t="inlineStr">
        <is>
          <t>secondary</t>
        </is>
      </c>
      <c r="E35" t="inlineStr">
        <is>
          <t>search snippet / page</t>
        </is>
      </c>
      <c r="F35" t="inlineStr"/>
      <c r="G35" t="inlineStr"/>
      <c r="H35" t="inlineStr"/>
    </row>
    <row r="36">
      <c r="A36" t="inlineStr">
        <is>
          <t>PHS-0010</t>
        </is>
      </c>
      <c r="B36" t="inlineStr">
        <is>
          <t>https://www.mousesteps.com/2024/03/27/disneyland-paris-releases-pin-trading-schedule-for-april-2024/</t>
        </is>
      </c>
      <c r="C36" t="inlineStr">
        <is>
          <t>mousesteps.com</t>
        </is>
      </c>
      <c r="D36" t="inlineStr">
        <is>
          <t>secondary</t>
        </is>
      </c>
      <c r="E36" t="inlineStr">
        <is>
          <t>search snippet / page</t>
        </is>
      </c>
      <c r="F36" t="inlineStr"/>
      <c r="G36" t="inlineStr"/>
      <c r="H36" t="inlineStr"/>
    </row>
    <row r="37">
      <c r="A37" t="inlineStr">
        <is>
          <t>PHS-0011</t>
        </is>
      </c>
      <c r="B37" t="inlineStr">
        <is>
          <t>https://disneypinsblog.com/alice-in-wonderland-2024-pin-trading-event-at-disneyland-paris/</t>
        </is>
      </c>
      <c r="C37" t="inlineStr">
        <is>
          <t>disneypinsblog.com</t>
        </is>
      </c>
      <c r="D37" t="inlineStr">
        <is>
          <t>secondary</t>
        </is>
      </c>
      <c r="E37" t="inlineStr">
        <is>
          <t>search snippet / page</t>
        </is>
      </c>
      <c r="F37" t="inlineStr"/>
      <c r="G37" t="inlineStr"/>
      <c r="H37" t="inlineStr"/>
    </row>
    <row r="38">
      <c r="A38" t="inlineStr">
        <is>
          <t>PHS-0011</t>
        </is>
      </c>
      <c r="B38" t="inlineStr">
        <is>
          <t>https://www.mousesteps.com/2024/04/22/disneyland-paris-reveals-alice-in-wonderland-pins-for-pin-trading-event-on-may-25th-2024/</t>
        </is>
      </c>
      <c r="C38" t="inlineStr">
        <is>
          <t>mousesteps.com</t>
        </is>
      </c>
      <c r="D38" t="inlineStr">
        <is>
          <t>secondary</t>
        </is>
      </c>
      <c r="E38" t="inlineStr">
        <is>
          <t>search snippet / page</t>
        </is>
      </c>
      <c r="F38" t="inlineStr"/>
      <c r="G38" t="inlineStr"/>
      <c r="H38" t="inlineStr"/>
    </row>
    <row r="39">
      <c r="A39" t="inlineStr">
        <is>
          <t>PHS-0011</t>
        </is>
      </c>
      <c r="B39" t="inlineStr">
        <is>
          <t>https://www.themepark.plus/disneyland-paris-pin-trading-event/</t>
        </is>
      </c>
      <c r="C39" t="inlineStr">
        <is>
          <t>themepark.plus</t>
        </is>
      </c>
      <c r="D39" t="inlineStr">
        <is>
          <t>secondary</t>
        </is>
      </c>
      <c r="E39" t="inlineStr">
        <is>
          <t>search snippet / page</t>
        </is>
      </c>
      <c r="F39" t="inlineStr"/>
      <c r="G39" t="inlineStr"/>
      <c r="H39" t="inlineStr"/>
    </row>
    <row r="40">
      <c r="A40" t="inlineStr">
        <is>
          <t>PHS-0012</t>
        </is>
      </c>
      <c r="B40" t="inlineStr">
        <is>
          <t>https://www.mousesteps.com/2024/05/27/disneyland-paris-pins-for-june-2024-revealed-including-disney-pride-and-inside-out-2/</t>
        </is>
      </c>
      <c r="C40" t="inlineStr">
        <is>
          <t>mousesteps.com</t>
        </is>
      </c>
      <c r="D40" t="inlineStr">
        <is>
          <t>secondary</t>
        </is>
      </c>
      <c r="E40" t="inlineStr">
        <is>
          <t>search snippet / page</t>
        </is>
      </c>
      <c r="F40" t="inlineStr"/>
      <c r="G40" t="inlineStr"/>
      <c r="H40" t="inlineStr"/>
    </row>
    <row r="41">
      <c r="A41" t="inlineStr">
        <is>
          <t>PHS-0012</t>
        </is>
      </c>
      <c r="B41" t="inlineStr">
        <is>
          <t>https://x.com/DLPReport/status/1795011556213772440</t>
        </is>
      </c>
      <c r="C41" t="inlineStr">
        <is>
          <t>x.com</t>
        </is>
      </c>
      <c r="D41" t="inlineStr">
        <is>
          <t>secondary</t>
        </is>
      </c>
      <c r="E41" t="inlineStr">
        <is>
          <t>search snippet / page</t>
        </is>
      </c>
      <c r="F41" t="inlineStr"/>
      <c r="G41" t="inlineStr"/>
      <c r="H41" t="inlineStr"/>
    </row>
    <row r="42">
      <c r="A42" t="inlineStr">
        <is>
          <t>PHS-0013</t>
        </is>
      </c>
      <c r="B42" t="inlineStr">
        <is>
          <t>https://www.mousesteps.com/2024/05/27/disneyland-paris-pins-for-june-2024-revealed-including-disney-pride-and-inside-out-2/</t>
        </is>
      </c>
      <c r="C42" t="inlineStr">
        <is>
          <t>mousesteps.com</t>
        </is>
      </c>
      <c r="D42" t="inlineStr">
        <is>
          <t>secondary</t>
        </is>
      </c>
      <c r="E42" t="inlineStr">
        <is>
          <t>search snippet / page</t>
        </is>
      </c>
      <c r="F42" t="inlineStr"/>
      <c r="G42" t="inlineStr"/>
      <c r="H42" t="inlineStr"/>
    </row>
    <row r="43">
      <c r="A43" t="inlineStr">
        <is>
          <t>PHS-0013</t>
        </is>
      </c>
      <c r="B43" t="inlineStr">
        <is>
          <t>https://x.com/DLPReport/status/1795011556213772440</t>
        </is>
      </c>
      <c r="C43" t="inlineStr">
        <is>
          <t>x.com</t>
        </is>
      </c>
      <c r="D43" t="inlineStr">
        <is>
          <t>secondary</t>
        </is>
      </c>
      <c r="E43" t="inlineStr">
        <is>
          <t>search snippet / page</t>
        </is>
      </c>
      <c r="F43" t="inlineStr"/>
      <c r="G43" t="inlineStr"/>
      <c r="H43" t="inlineStr"/>
    </row>
    <row r="44">
      <c r="A44" t="inlineStr">
        <is>
          <t>PHS-0014</t>
        </is>
      </c>
      <c r="B44" t="inlineStr">
        <is>
          <t>https://www.mousesteps.com/2024/05/27/disneyland-paris-pins-for-june-2024-revealed-including-disney-pride-and-inside-out-2/</t>
        </is>
      </c>
      <c r="C44" t="inlineStr">
        <is>
          <t>mousesteps.com</t>
        </is>
      </c>
      <c r="D44" t="inlineStr">
        <is>
          <t>secondary</t>
        </is>
      </c>
      <c r="E44" t="inlineStr">
        <is>
          <t>search snippet / page</t>
        </is>
      </c>
      <c r="F44" t="inlineStr"/>
      <c r="G44" t="inlineStr"/>
      <c r="H44" t="inlineStr"/>
    </row>
    <row r="45">
      <c r="A45" t="inlineStr">
        <is>
          <t>PHS-0015</t>
        </is>
      </c>
      <c r="B45" t="inlineStr">
        <is>
          <t>https://www.mousesteps.com/2024/05/27/disneyland-paris-pins-for-june-2024-revealed-including-disney-pride-and-inside-out-2/</t>
        </is>
      </c>
      <c r="C45" t="inlineStr">
        <is>
          <t>mousesteps.com</t>
        </is>
      </c>
      <c r="D45" t="inlineStr">
        <is>
          <t>secondary</t>
        </is>
      </c>
      <c r="E45" t="inlineStr">
        <is>
          <t>search snippet / page</t>
        </is>
      </c>
      <c r="F45" t="inlineStr"/>
      <c r="G45" t="inlineStr"/>
      <c r="H45" t="inlineStr"/>
    </row>
    <row r="46">
      <c r="A46" t="inlineStr">
        <is>
          <t>PHS-0016</t>
        </is>
      </c>
      <c r="B46" t="inlineStr">
        <is>
          <t>https://www.mousesteps.com/2024/05/27/disneyland-paris-pins-for-june-2024-revealed-including-disney-pride-and-inside-out-2/</t>
        </is>
      </c>
      <c r="C46" t="inlineStr">
        <is>
          <t>mousesteps.com</t>
        </is>
      </c>
      <c r="D46" t="inlineStr">
        <is>
          <t>secondary</t>
        </is>
      </c>
      <c r="E46" t="inlineStr">
        <is>
          <t>search snippet / page</t>
        </is>
      </c>
      <c r="F46" t="inlineStr"/>
      <c r="G46" t="inlineStr"/>
      <c r="H46" t="inlineStr"/>
    </row>
    <row r="47">
      <c r="A47" t="inlineStr">
        <is>
          <t>PHS-0017</t>
        </is>
      </c>
      <c r="B47" t="inlineStr">
        <is>
          <t>https://chipandco.com/summer-olympics-merchandise-disneyland-paris-570975/</t>
        </is>
      </c>
      <c r="C47" t="inlineStr">
        <is>
          <t>chipandco.com</t>
        </is>
      </c>
      <c r="D47" t="inlineStr">
        <is>
          <t>secondary</t>
        </is>
      </c>
      <c r="E47" t="inlineStr">
        <is>
          <t>search snippet / page</t>
        </is>
      </c>
      <c r="F47" t="inlineStr"/>
      <c r="G47" t="inlineStr"/>
      <c r="H47" t="inlineStr"/>
    </row>
    <row r="48">
      <c r="A48" t="inlineStr">
        <is>
          <t>PHS-0017</t>
        </is>
      </c>
      <c r="B48" t="inlineStr">
        <is>
          <t>https://wdwnt.com/2024/07/2024-summer-olympics-merchandise-disney-paris/</t>
        </is>
      </c>
      <c r="C48" t="inlineStr">
        <is>
          <t>wdwnt.com</t>
        </is>
      </c>
      <c r="D48" t="inlineStr">
        <is>
          <t>secondary</t>
        </is>
      </c>
      <c r="E48" t="inlineStr">
        <is>
          <t>search snippet / page</t>
        </is>
      </c>
      <c r="F48" t="inlineStr"/>
      <c r="G48" t="inlineStr"/>
      <c r="H48" t="inlineStr"/>
    </row>
    <row r="49">
      <c r="A49" t="inlineStr">
        <is>
          <t>PHS-0018</t>
        </is>
      </c>
      <c r="B49" t="inlineStr">
        <is>
          <t>https://www.mousesteps.com/2024/06/28/disneyland-paris-pin-release-schedule-for-july-2024-includes-aristocats-ratatouille-pins/</t>
        </is>
      </c>
      <c r="C49" t="inlineStr">
        <is>
          <t>mousesteps.com</t>
        </is>
      </c>
      <c r="D49" t="inlineStr">
        <is>
          <t>secondary</t>
        </is>
      </c>
      <c r="E49" t="inlineStr">
        <is>
          <t>search snippet / page</t>
        </is>
      </c>
      <c r="F49" t="inlineStr"/>
      <c r="G49" t="inlineStr"/>
      <c r="H49" t="inlineStr"/>
    </row>
    <row r="50">
      <c r="A50" t="inlineStr">
        <is>
          <t>PHS-0019</t>
        </is>
      </c>
      <c r="B50" t="inlineStr">
        <is>
          <t>https://www.mousesteps.com/2024/06/28/disneyland-paris-pin-release-schedule-for-july-2024-includes-aristocats-ratatouille-pins/</t>
        </is>
      </c>
      <c r="C50" t="inlineStr">
        <is>
          <t>mousesteps.com</t>
        </is>
      </c>
      <c r="D50" t="inlineStr">
        <is>
          <t>secondary</t>
        </is>
      </c>
      <c r="E50" t="inlineStr">
        <is>
          <t>search snippet / page</t>
        </is>
      </c>
      <c r="F50" t="inlineStr"/>
      <c r="G50" t="inlineStr"/>
      <c r="H50" t="inlineStr"/>
    </row>
    <row r="51">
      <c r="A51" t="inlineStr">
        <is>
          <t>PHS-0020</t>
        </is>
      </c>
      <c r="B51" t="inlineStr">
        <is>
          <t>https://www.mousesteps.com/2024/07/29/disneyland-paris-august-2024-pins-feature-stitch-beauty-and-the-beast-and-more/</t>
        </is>
      </c>
      <c r="C51" t="inlineStr">
        <is>
          <t>mousesteps.com</t>
        </is>
      </c>
      <c r="D51" t="inlineStr">
        <is>
          <t>secondary</t>
        </is>
      </c>
      <c r="E51" t="inlineStr">
        <is>
          <t>search snippet / page</t>
        </is>
      </c>
      <c r="F51" t="inlineStr"/>
      <c r="G51" t="inlineStr"/>
      <c r="H51" t="inlineStr"/>
    </row>
    <row r="52">
      <c r="A52" t="inlineStr">
        <is>
          <t>PHS-0021</t>
        </is>
      </c>
      <c r="B52" t="inlineStr">
        <is>
          <t>https://disneypinsblog.com/product/pascal-balloon-series-disneyland-paris-pin/</t>
        </is>
      </c>
      <c r="C52" t="inlineStr">
        <is>
          <t>disneypinsblog.com</t>
        </is>
      </c>
      <c r="D52" t="inlineStr">
        <is>
          <t>secondary</t>
        </is>
      </c>
      <c r="E52" t="inlineStr">
        <is>
          <t>search snippet / page</t>
        </is>
      </c>
      <c r="F52" t="inlineStr"/>
      <c r="G52" t="inlineStr"/>
      <c r="H52" t="inlineStr"/>
    </row>
    <row r="53">
      <c r="A53" t="inlineStr">
        <is>
          <t>PHS-0021</t>
        </is>
      </c>
      <c r="B53" t="inlineStr">
        <is>
          <t>https://www.mousesteps.com/2024/07/29/disneyland-paris-august-2024-pins-feature-stitch-beauty-and-the-beast-and-more/</t>
        </is>
      </c>
      <c r="C53" t="inlineStr">
        <is>
          <t>mousesteps.com</t>
        </is>
      </c>
      <c r="D53" t="inlineStr">
        <is>
          <t>secondary</t>
        </is>
      </c>
      <c r="E53" t="inlineStr">
        <is>
          <t>search snippet / page</t>
        </is>
      </c>
      <c r="F53" t="inlineStr"/>
      <c r="G53" t="inlineStr"/>
      <c r="H53" t="inlineStr"/>
    </row>
    <row r="54">
      <c r="A54" t="inlineStr">
        <is>
          <t>PHS-0022</t>
        </is>
      </c>
      <c r="B54" t="inlineStr">
        <is>
          <t>https://disneypinsblog.com/blogs/news/disneyland-paris-august-2024-pin-releases</t>
        </is>
      </c>
      <c r="C54" t="inlineStr">
        <is>
          <t>disneypinsblog.com</t>
        </is>
      </c>
      <c r="D54" t="inlineStr">
        <is>
          <t>secondary</t>
        </is>
      </c>
      <c r="E54" t="inlineStr">
        <is>
          <t>search snippet / page</t>
        </is>
      </c>
      <c r="F54" t="inlineStr"/>
      <c r="G54" t="inlineStr"/>
      <c r="H54" t="inlineStr"/>
    </row>
    <row r="55">
      <c r="A55" t="inlineStr">
        <is>
          <t>PHS-0022</t>
        </is>
      </c>
      <c r="B55" t="inlineStr">
        <is>
          <t>https://disneypinsblog.com/blogs/news/disneyland-paris-august-2024-pin-trading-time-event-pin-releases</t>
        </is>
      </c>
      <c r="C55" t="inlineStr">
        <is>
          <t>disneypinsblog.com</t>
        </is>
      </c>
      <c r="D55" t="inlineStr">
        <is>
          <t>secondary</t>
        </is>
      </c>
      <c r="E55" t="inlineStr">
        <is>
          <t>search snippet / page</t>
        </is>
      </c>
      <c r="F55" t="inlineStr"/>
      <c r="G55" t="inlineStr"/>
      <c r="H55" t="inlineStr"/>
    </row>
    <row r="56">
      <c r="A56" t="inlineStr">
        <is>
          <t>PHS-0022</t>
        </is>
      </c>
      <c r="B56" t="inlineStr">
        <is>
          <t>https://mypincentral.com/pin/207574</t>
        </is>
      </c>
      <c r="C56" t="inlineStr">
        <is>
          <t>mypincentral.com</t>
        </is>
      </c>
      <c r="D56" t="inlineStr">
        <is>
          <t>secondary</t>
        </is>
      </c>
      <c r="E56" t="inlineStr">
        <is>
          <t>search snippet / page</t>
        </is>
      </c>
      <c r="F56" t="inlineStr"/>
      <c r="G56" t="inlineStr"/>
      <c r="H56" t="inlineStr"/>
    </row>
    <row r="57">
      <c r="A57" t="inlineStr">
        <is>
          <t>PHS-0022</t>
        </is>
      </c>
      <c r="B57" t="inlineStr">
        <is>
          <t>https://www.mousesteps.com/2024/07/29/disneyland-paris-august-2024-pins-feature-stitch-beauty-and-the-beast-and-more/</t>
        </is>
      </c>
      <c r="C57" t="inlineStr">
        <is>
          <t>mousesteps.com</t>
        </is>
      </c>
      <c r="D57" t="inlineStr">
        <is>
          <t>secondary</t>
        </is>
      </c>
      <c r="E57" t="inlineStr">
        <is>
          <t>search snippet / page</t>
        </is>
      </c>
      <c r="F57" t="inlineStr"/>
      <c r="G57" t="inlineStr"/>
      <c r="H57" t="inlineStr"/>
    </row>
    <row r="58">
      <c r="A58" t="inlineStr">
        <is>
          <t>PHS-0023</t>
        </is>
      </c>
      <c r="B58" t="inlineStr">
        <is>
          <t>https://disneypinsblog.com/blogs/news/disneyland-paris-august-2024-pin-trading-time-event-pin-releases</t>
        </is>
      </c>
      <c r="C58" t="inlineStr">
        <is>
          <t>disneypinsblog.com</t>
        </is>
      </c>
      <c r="D58" t="inlineStr">
        <is>
          <t>secondary</t>
        </is>
      </c>
      <c r="E58" t="inlineStr">
        <is>
          <t>search snippet / page</t>
        </is>
      </c>
      <c r="F58" t="inlineStr"/>
      <c r="G58" t="inlineStr"/>
      <c r="H58" t="inlineStr"/>
    </row>
    <row r="59">
      <c r="A59" t="inlineStr">
        <is>
          <t>PHS-0024</t>
        </is>
      </c>
      <c r="B59" t="inlineStr">
        <is>
          <t>https://disneypinsblog.com/disneyland-paris-october-2024-pin-releases/</t>
        </is>
      </c>
      <c r="C59" t="inlineStr">
        <is>
          <t>disneypinsblog.com</t>
        </is>
      </c>
      <c r="D59" t="inlineStr">
        <is>
          <t>secondary</t>
        </is>
      </c>
      <c r="E59" t="inlineStr">
        <is>
          <t>search snippet / page</t>
        </is>
      </c>
      <c r="F59" t="inlineStr"/>
      <c r="G59" t="inlineStr"/>
      <c r="H59" t="inlineStr"/>
    </row>
    <row r="60">
      <c r="A60" t="inlineStr">
        <is>
          <t>PHS-0024</t>
        </is>
      </c>
      <c r="B60" t="inlineStr">
        <is>
          <t>https://medium.com/@kevin_24111/disneyland-paris-september-2024-pin-release-preview-sheet-schedule-1139688c519e</t>
        </is>
      </c>
      <c r="C60" t="inlineStr">
        <is>
          <t>medium.com</t>
        </is>
      </c>
      <c r="D60" t="inlineStr">
        <is>
          <t>secondary</t>
        </is>
      </c>
      <c r="E60" t="inlineStr">
        <is>
          <t>search snippet / page</t>
        </is>
      </c>
      <c r="F60" t="inlineStr"/>
      <c r="G60" t="inlineStr"/>
      <c r="H60" t="inlineStr"/>
    </row>
    <row r="61">
      <c r="A61" t="inlineStr">
        <is>
          <t>PHS-0024</t>
        </is>
      </c>
      <c r="B61" t="inlineStr">
        <is>
          <t>https://www.mousesteps.com/2024/08/29/disneyland-paris-pin-release-schedule-for-september-2024-revealed/</t>
        </is>
      </c>
      <c r="C61" t="inlineStr">
        <is>
          <t>mousesteps.com</t>
        </is>
      </c>
      <c r="D61" t="inlineStr">
        <is>
          <t>secondary</t>
        </is>
      </c>
      <c r="E61" t="inlineStr">
        <is>
          <t>search snippet / page</t>
        </is>
      </c>
      <c r="F61" t="inlineStr"/>
      <c r="G61" t="inlineStr"/>
      <c r="H61" t="inlineStr"/>
    </row>
    <row r="62">
      <c r="A62" t="inlineStr">
        <is>
          <t>PHS-0025</t>
        </is>
      </c>
      <c r="B62" t="inlineStr">
        <is>
          <t>https://www.mousesteps.com/2024/08/29/disneyland-paris-pin-release-schedule-for-september-2024-revealed/</t>
        </is>
      </c>
      <c r="C62" t="inlineStr">
        <is>
          <t>mousesteps.com</t>
        </is>
      </c>
      <c r="D62" t="inlineStr">
        <is>
          <t>secondary</t>
        </is>
      </c>
      <c r="E62" t="inlineStr">
        <is>
          <t>search snippet / page</t>
        </is>
      </c>
      <c r="F62" t="inlineStr"/>
      <c r="G62" t="inlineStr"/>
      <c r="H62" t="inlineStr"/>
    </row>
    <row r="63">
      <c r="A63" t="inlineStr">
        <is>
          <t>PHS-0026</t>
        </is>
      </c>
      <c r="B63" t="inlineStr">
        <is>
          <t>https://medium.com/@disney_mouseketeer/disneyland-paris-september-2024-pin-release-preview-sheet-schedule-1139688c519e</t>
        </is>
      </c>
      <c r="C63" t="inlineStr">
        <is>
          <t>medium.com</t>
        </is>
      </c>
      <c r="D63" t="inlineStr">
        <is>
          <t>secondary</t>
        </is>
      </c>
      <c r="E63" t="inlineStr">
        <is>
          <t>search snippet / page</t>
        </is>
      </c>
      <c r="F63" t="inlineStr"/>
      <c r="G63" t="inlineStr"/>
      <c r="H63" t="inlineStr"/>
    </row>
    <row r="64">
      <c r="A64" t="inlineStr">
        <is>
          <t>PHS-0026</t>
        </is>
      </c>
      <c r="B64" t="inlineStr">
        <is>
          <t>https://medium.com/@kevin_24111/disneyland-paris-september-2024-pin-release-preview-sheet-schedule-1139688c519e</t>
        </is>
      </c>
      <c r="C64" t="inlineStr">
        <is>
          <t>medium.com</t>
        </is>
      </c>
      <c r="D64" t="inlineStr">
        <is>
          <t>secondary</t>
        </is>
      </c>
      <c r="E64" t="inlineStr">
        <is>
          <t>search snippet / page</t>
        </is>
      </c>
      <c r="F64" t="inlineStr"/>
      <c r="G64" t="inlineStr"/>
      <c r="H64" t="inlineStr"/>
    </row>
    <row r="65">
      <c r="A65" t="inlineStr">
        <is>
          <t>PHS-0026</t>
        </is>
      </c>
      <c r="B65" t="inlineStr">
        <is>
          <t>https://www.mousesteps.com/2024/08/29/disneyland-paris-pin-release-schedule-for-september-2024-revealed/</t>
        </is>
      </c>
      <c r="C65" t="inlineStr">
        <is>
          <t>mousesteps.com</t>
        </is>
      </c>
      <c r="D65" t="inlineStr">
        <is>
          <t>secondary</t>
        </is>
      </c>
      <c r="E65" t="inlineStr">
        <is>
          <t>search snippet / page</t>
        </is>
      </c>
      <c r="F65" t="inlineStr"/>
      <c r="G65" t="inlineStr"/>
      <c r="H65" t="inlineStr"/>
    </row>
    <row r="66">
      <c r="A66" t="inlineStr">
        <is>
          <t>PHS-0027</t>
        </is>
      </c>
      <c r="B66" t="inlineStr">
        <is>
          <t>https://disneypinsblog.com/disneyland-paris-november-2024-pin-releases/</t>
        </is>
      </c>
      <c r="C66" t="inlineStr">
        <is>
          <t>disneypinsblog.com</t>
        </is>
      </c>
      <c r="D66" t="inlineStr">
        <is>
          <t>secondary</t>
        </is>
      </c>
      <c r="E66" t="inlineStr">
        <is>
          <t>search snippet / page</t>
        </is>
      </c>
      <c r="F66" t="inlineStr"/>
      <c r="G66" t="inlineStr"/>
      <c r="H66" t="inlineStr"/>
    </row>
    <row r="67">
      <c r="A67" t="inlineStr">
        <is>
          <t>PHS-0027</t>
        </is>
      </c>
      <c r="B67" t="inlineStr">
        <is>
          <t>https://www.mousesteps.com/2024/10/30/disneyland-paris-november-2024-pin-release-schedule-revealed/</t>
        </is>
      </c>
      <c r="C67" t="inlineStr">
        <is>
          <t>mousesteps.com</t>
        </is>
      </c>
      <c r="D67" t="inlineStr">
        <is>
          <t>secondary</t>
        </is>
      </c>
      <c r="E67" t="inlineStr">
        <is>
          <t>search snippet / page</t>
        </is>
      </c>
      <c r="F67" t="inlineStr"/>
      <c r="G67" t="inlineStr"/>
      <c r="H67" t="inlineStr"/>
    </row>
    <row r="68">
      <c r="A68" t="inlineStr">
        <is>
          <t>PHS-0028</t>
        </is>
      </c>
      <c r="B68" t="inlineStr">
        <is>
          <t>http://pixiedustdlp.com/2024/11/04/disneyland-paris-pin-trading-november-2024/</t>
        </is>
      </c>
      <c r="C68" t="inlineStr">
        <is>
          <t>pixiedustdlp.com</t>
        </is>
      </c>
      <c r="D68" t="inlineStr">
        <is>
          <t>secondary</t>
        </is>
      </c>
      <c r="E68" t="inlineStr">
        <is>
          <t>search snippet / page</t>
        </is>
      </c>
      <c r="F68" t="inlineStr"/>
      <c r="G68" t="inlineStr"/>
      <c r="H68" t="inlineStr"/>
    </row>
    <row r="69">
      <c r="A69" t="inlineStr">
        <is>
          <t>PHS-0028</t>
        </is>
      </c>
      <c r="B69" t="inlineStr">
        <is>
          <t>https://www.mousesteps.com/2024/10/30/disneyland-paris-november-2024-pin-release-schedule-revealed/</t>
        </is>
      </c>
      <c r="C69" t="inlineStr">
        <is>
          <t>mousesteps.com</t>
        </is>
      </c>
      <c r="D69" t="inlineStr">
        <is>
          <t>secondary</t>
        </is>
      </c>
      <c r="E69" t="inlineStr">
        <is>
          <t>search snippet / page</t>
        </is>
      </c>
      <c r="F69" t="inlineStr"/>
      <c r="G69" t="inlineStr"/>
      <c r="H69" t="inlineStr"/>
    </row>
    <row r="70">
      <c r="A70" t="inlineStr">
        <is>
          <t>PHS-0029</t>
        </is>
      </c>
      <c r="B70" t="inlineStr">
        <is>
          <t>http://pixiedustdlp.com/2024/11/04/disneyland-paris-pin-trading-november-2024/</t>
        </is>
      </c>
      <c r="C70" t="inlineStr">
        <is>
          <t>pixiedustdlp.com</t>
        </is>
      </c>
      <c r="D70" t="inlineStr">
        <is>
          <t>secondary</t>
        </is>
      </c>
      <c r="E70" t="inlineStr">
        <is>
          <t>search snippet / page</t>
        </is>
      </c>
      <c r="F70" t="inlineStr"/>
      <c r="G70" t="inlineStr"/>
      <c r="H70" t="inlineStr"/>
    </row>
    <row r="71">
      <c r="A71" t="inlineStr">
        <is>
          <t>PHS-0029</t>
        </is>
      </c>
      <c r="B71" t="inlineStr">
        <is>
          <t>https://disneypinsblog.com/disneyland-paris-november-2024-pin-releases/</t>
        </is>
      </c>
      <c r="C71" t="inlineStr">
        <is>
          <t>disneypinsblog.com</t>
        </is>
      </c>
      <c r="D71" t="inlineStr">
        <is>
          <t>secondary</t>
        </is>
      </c>
      <c r="E71" t="inlineStr">
        <is>
          <t>search snippet / page</t>
        </is>
      </c>
      <c r="F71" t="inlineStr"/>
      <c r="G71" t="inlineStr"/>
      <c r="H71" t="inlineStr"/>
    </row>
    <row r="72">
      <c r="A72" t="inlineStr">
        <is>
          <t>PHS-0029</t>
        </is>
      </c>
      <c r="B72" t="inlineStr">
        <is>
          <t>https://mypincentral.com/pin/209670</t>
        </is>
      </c>
      <c r="C72" t="inlineStr">
        <is>
          <t>mypincentral.com</t>
        </is>
      </c>
      <c r="D72" t="inlineStr">
        <is>
          <t>secondary</t>
        </is>
      </c>
      <c r="E72" t="inlineStr">
        <is>
          <t>search snippet / page</t>
        </is>
      </c>
      <c r="F72" t="inlineStr"/>
      <c r="G72" t="inlineStr"/>
      <c r="H72" t="inlineStr"/>
    </row>
    <row r="73">
      <c r="A73" t="inlineStr">
        <is>
          <t>PHS-0029</t>
        </is>
      </c>
      <c r="B73" t="inlineStr">
        <is>
          <t>https://www.mousesteps.com/2024/10/30/disneyland-paris-november-2024-pin-release-schedule-revealed/</t>
        </is>
      </c>
      <c r="C73" t="inlineStr">
        <is>
          <t>mousesteps.com</t>
        </is>
      </c>
      <c r="D73" t="inlineStr">
        <is>
          <t>secondary</t>
        </is>
      </c>
      <c r="E73" t="inlineStr">
        <is>
          <t>search snippet / page</t>
        </is>
      </c>
      <c r="F73" t="inlineStr"/>
      <c r="G73" t="inlineStr"/>
      <c r="H73" t="inlineStr"/>
    </row>
    <row r="74">
      <c r="A74" t="inlineStr">
        <is>
          <t>PHS-0030</t>
        </is>
      </c>
      <c r="B74" t="inlineStr">
        <is>
          <t>http://pixiedustdlp.com/2024/11/04/disneyland-paris-pin-trading-november-2024/</t>
        </is>
      </c>
      <c r="C74" t="inlineStr">
        <is>
          <t>pixiedustdlp.com</t>
        </is>
      </c>
      <c r="D74" t="inlineStr">
        <is>
          <t>secondary</t>
        </is>
      </c>
      <c r="E74" t="inlineStr">
        <is>
          <t>search snippet / page</t>
        </is>
      </c>
      <c r="F74" t="inlineStr"/>
      <c r="G74" t="inlineStr"/>
      <c r="H74" t="inlineStr"/>
    </row>
    <row r="75">
      <c r="A75" t="inlineStr">
        <is>
          <t>PHS-0030</t>
        </is>
      </c>
      <c r="B75" t="inlineStr">
        <is>
          <t>https://www.mousesteps.com/2024/10/30/disneyland-paris-november-2024-pin-release-schedule-revealed/</t>
        </is>
      </c>
      <c r="C75" t="inlineStr">
        <is>
          <t>mousesteps.com</t>
        </is>
      </c>
      <c r="D75" t="inlineStr">
        <is>
          <t>secondary</t>
        </is>
      </c>
      <c r="E75" t="inlineStr">
        <is>
          <t>search snippet / page</t>
        </is>
      </c>
      <c r="F75" t="inlineStr"/>
      <c r="G75" t="inlineStr"/>
      <c r="H75" t="inlineStr"/>
    </row>
    <row r="76">
      <c r="A76" t="inlineStr">
        <is>
          <t>PHS-0031</t>
        </is>
      </c>
      <c r="B76" t="inlineStr">
        <is>
          <t>http://pixiedustdlp.com/2024/11/04/disneyland-paris-pin-trading-november-2024/</t>
        </is>
      </c>
      <c r="C76" t="inlineStr">
        <is>
          <t>pixiedustdlp.com</t>
        </is>
      </c>
      <c r="D76" t="inlineStr">
        <is>
          <t>secondary</t>
        </is>
      </c>
      <c r="E76" t="inlineStr">
        <is>
          <t>search snippet / page</t>
        </is>
      </c>
      <c r="F76" t="inlineStr"/>
      <c r="G76" t="inlineStr"/>
      <c r="H76" t="inlineStr"/>
    </row>
    <row r="77">
      <c r="A77" t="inlineStr">
        <is>
          <t>PHS-0031</t>
        </is>
      </c>
      <c r="B77" t="inlineStr">
        <is>
          <t>https://www.mousesteps.com/2024/10/30/disneyland-paris-november-2024-pin-release-schedule-revealed/</t>
        </is>
      </c>
      <c r="C77" t="inlineStr">
        <is>
          <t>mousesteps.com</t>
        </is>
      </c>
      <c r="D77" t="inlineStr">
        <is>
          <t>secondary</t>
        </is>
      </c>
      <c r="E77" t="inlineStr">
        <is>
          <t>search snippet / page</t>
        </is>
      </c>
      <c r="F77" t="inlineStr"/>
      <c r="G77" t="inlineStr"/>
      <c r="H77" t="inlineStr"/>
    </row>
    <row r="78">
      <c r="A78" t="inlineStr">
        <is>
          <t>PHS-0032</t>
        </is>
      </c>
      <c r="B78" t="inlineStr">
        <is>
          <t>http://pixiedustdlp.com/2024/12/28/disneyland-paris-pin-trading-january-2025/</t>
        </is>
      </c>
      <c r="C78" t="inlineStr">
        <is>
          <t>pixiedustdlp.com</t>
        </is>
      </c>
      <c r="D78" t="inlineStr">
        <is>
          <t>secondary</t>
        </is>
      </c>
      <c r="E78" t="inlineStr">
        <is>
          <t>search snippet / page</t>
        </is>
      </c>
      <c r="F78" t="inlineStr"/>
      <c r="G78" t="inlineStr"/>
      <c r="H78" t="inlineStr"/>
    </row>
    <row r="79">
      <c r="A79" t="inlineStr">
        <is>
          <t>PHS-0032</t>
        </is>
      </c>
      <c r="B79" t="inlineStr">
        <is>
          <t>https://disneypinsblog.com/disneyland-paris-january-2025-pin-releases/</t>
        </is>
      </c>
      <c r="C79" t="inlineStr">
        <is>
          <t>disneypinsblog.com</t>
        </is>
      </c>
      <c r="D79" t="inlineStr">
        <is>
          <t>secondary</t>
        </is>
      </c>
      <c r="E79" t="inlineStr">
        <is>
          <t>search snippet / page</t>
        </is>
      </c>
      <c r="F79" t="inlineStr"/>
      <c r="G79" t="inlineStr"/>
      <c r="H79" t="inlineStr"/>
    </row>
    <row r="80">
      <c r="A80" t="inlineStr">
        <is>
          <t>PHS-0032</t>
        </is>
      </c>
      <c r="B80" t="inlineStr">
        <is>
          <t>https://www.mousesteps.com/2024/12/27/disneyland-paris-january-2025-pins-revealed/</t>
        </is>
      </c>
      <c r="C80" t="inlineStr">
        <is>
          <t>mousesteps.com</t>
        </is>
      </c>
      <c r="D80" t="inlineStr">
        <is>
          <t>secondary</t>
        </is>
      </c>
      <c r="E80" t="inlineStr">
        <is>
          <t>search snippet / page</t>
        </is>
      </c>
      <c r="F80" t="inlineStr"/>
      <c r="G80" t="inlineStr"/>
      <c r="H80" t="inlineStr"/>
    </row>
    <row r="81">
      <c r="A81" t="inlineStr">
        <is>
          <t>PHS-0033</t>
        </is>
      </c>
      <c r="B81" t="inlineStr">
        <is>
          <t>https://www.laughingplace.com/w/disney-merchandise/disneyland-paris-reveals-new-pieces-jaunes-collection/</t>
        </is>
      </c>
      <c r="C81" t="inlineStr">
        <is>
          <t>laughingplace.com</t>
        </is>
      </c>
      <c r="D81" t="inlineStr">
        <is>
          <t>secondary</t>
        </is>
      </c>
      <c r="E81" t="inlineStr">
        <is>
          <t>search snippet / page</t>
        </is>
      </c>
      <c r="F81" t="inlineStr"/>
      <c r="G81" t="inlineStr"/>
      <c r="H81" t="inlineStr"/>
    </row>
    <row r="82">
      <c r="A82" t="inlineStr">
        <is>
          <t>PHS-0033</t>
        </is>
      </c>
      <c r="B82" t="inlineStr">
        <is>
          <t>https://www.mousesteps.com/2024/12/27/disneyland-paris-january-2025-pins-revealed/</t>
        </is>
      </c>
      <c r="C82" t="inlineStr">
        <is>
          <t>mousesteps.com</t>
        </is>
      </c>
      <c r="D82" t="inlineStr">
        <is>
          <t>secondary</t>
        </is>
      </c>
      <c r="E82" t="inlineStr">
        <is>
          <t>search snippet / page</t>
        </is>
      </c>
      <c r="F82" t="inlineStr"/>
      <c r="G82" t="inlineStr"/>
      <c r="H82" t="inlineStr"/>
    </row>
    <row r="83">
      <c r="A83" t="inlineStr">
        <is>
          <t>PHS-0034</t>
        </is>
      </c>
      <c r="B83" t="inlineStr">
        <is>
          <t>http://pixiedustdlp.com/2024/12/28/disneyland-paris-pin-trading-january-2025/</t>
        </is>
      </c>
      <c r="C83" t="inlineStr">
        <is>
          <t>pixiedustdlp.com</t>
        </is>
      </c>
      <c r="D83" t="inlineStr">
        <is>
          <t>secondary</t>
        </is>
      </c>
      <c r="E83" t="inlineStr">
        <is>
          <t>search snippet / page</t>
        </is>
      </c>
      <c r="F83" t="inlineStr"/>
      <c r="G83" t="inlineStr"/>
      <c r="H83" t="inlineStr"/>
    </row>
    <row r="84">
      <c r="A84" t="inlineStr">
        <is>
          <t>PHS-0034</t>
        </is>
      </c>
      <c r="B84" t="inlineStr">
        <is>
          <t>https://disneypinsblog.com/disneyland-paris-january-2025-pin-releases/</t>
        </is>
      </c>
      <c r="C84" t="inlineStr">
        <is>
          <t>disneypinsblog.com</t>
        </is>
      </c>
      <c r="D84" t="inlineStr">
        <is>
          <t>secondary</t>
        </is>
      </c>
      <c r="E84" t="inlineStr">
        <is>
          <t>search snippet / page</t>
        </is>
      </c>
      <c r="F84" t="inlineStr"/>
      <c r="G84" t="inlineStr"/>
      <c r="H84" t="inlineStr"/>
    </row>
    <row r="85">
      <c r="A85" t="inlineStr">
        <is>
          <t>PHS-0034</t>
        </is>
      </c>
      <c r="B85" t="inlineStr">
        <is>
          <t>https://medium.com/@disney_mouseketeer/disneyland-paris-january-2025-pins-preview-sheet-schedule-d318059771d9</t>
        </is>
      </c>
      <c r="C85" t="inlineStr">
        <is>
          <t>medium.com</t>
        </is>
      </c>
      <c r="D85" t="inlineStr">
        <is>
          <t>secondary</t>
        </is>
      </c>
      <c r="E85" t="inlineStr">
        <is>
          <t>search snippet / page</t>
        </is>
      </c>
      <c r="F85" t="inlineStr"/>
      <c r="G85" t="inlineStr"/>
      <c r="H85" t="inlineStr"/>
    </row>
    <row r="86">
      <c r="A86" t="inlineStr">
        <is>
          <t>PHS-0034</t>
        </is>
      </c>
      <c r="B86" t="inlineStr">
        <is>
          <t>https://www.mousesteps.com/2024/12/27/disneyland-paris-january-2025-pins-revealed/</t>
        </is>
      </c>
      <c r="C86" t="inlineStr">
        <is>
          <t>mousesteps.com</t>
        </is>
      </c>
      <c r="D86" t="inlineStr">
        <is>
          <t>secondary</t>
        </is>
      </c>
      <c r="E86" t="inlineStr">
        <is>
          <t>search snippet / page</t>
        </is>
      </c>
      <c r="F86" t="inlineStr"/>
      <c r="G86" t="inlineStr"/>
      <c r="H86" t="inlineStr"/>
    </row>
    <row r="87">
      <c r="A87" t="inlineStr">
        <is>
          <t>PHS-0035</t>
        </is>
      </c>
      <c r="B87" t="inlineStr">
        <is>
          <t>https://disneypinsblog.com/disneyland-paris-january-2025-pin-releases/</t>
        </is>
      </c>
      <c r="C87" t="inlineStr">
        <is>
          <t>disneypinsblog.com</t>
        </is>
      </c>
      <c r="D87" t="inlineStr">
        <is>
          <t>secondary</t>
        </is>
      </c>
      <c r="E87" t="inlineStr">
        <is>
          <t>search snippet / page</t>
        </is>
      </c>
      <c r="F87" t="inlineStr"/>
      <c r="G87" t="inlineStr"/>
      <c r="H87" t="inlineStr"/>
    </row>
    <row r="88">
      <c r="A88" t="inlineStr">
        <is>
          <t>PHS-0035</t>
        </is>
      </c>
      <c r="B88" t="inlineStr">
        <is>
          <t>https://www.mousesteps.com/2024/12/27/disneyland-paris-january-2025-pins-revealed/</t>
        </is>
      </c>
      <c r="C88" t="inlineStr">
        <is>
          <t>mousesteps.com</t>
        </is>
      </c>
      <c r="D88" t="inlineStr">
        <is>
          <t>secondary</t>
        </is>
      </c>
      <c r="E88" t="inlineStr">
        <is>
          <t>search snippet / page</t>
        </is>
      </c>
      <c r="F88" t="inlineStr"/>
      <c r="G88" t="inlineStr"/>
      <c r="H88" t="inlineStr"/>
    </row>
    <row r="89">
      <c r="A89" t="inlineStr">
        <is>
          <t>PHS-0036</t>
        </is>
      </c>
      <c r="B89" t="inlineStr">
        <is>
          <t>http://pixiedustdlp.com/2024/12/28/disneyland-paris-pin-trading-january-2025/</t>
        </is>
      </c>
      <c r="C89" t="inlineStr">
        <is>
          <t>pixiedustdlp.com</t>
        </is>
      </c>
      <c r="D89" t="inlineStr">
        <is>
          <t>secondary</t>
        </is>
      </c>
      <c r="E89" t="inlineStr">
        <is>
          <t>search snippet / page</t>
        </is>
      </c>
      <c r="F89" t="inlineStr"/>
      <c r="G89" t="inlineStr"/>
      <c r="H89" t="inlineStr"/>
    </row>
    <row r="90">
      <c r="A90" t="inlineStr">
        <is>
          <t>PHS-0036</t>
        </is>
      </c>
      <c r="B90" t="inlineStr">
        <is>
          <t>https://www.mousesteps.com/2024/12/27/disneyland-paris-january-2025-pins-revealed/</t>
        </is>
      </c>
      <c r="C90" t="inlineStr">
        <is>
          <t>mousesteps.com</t>
        </is>
      </c>
      <c r="D90" t="inlineStr">
        <is>
          <t>secondary</t>
        </is>
      </c>
      <c r="E90" t="inlineStr">
        <is>
          <t>search snippet / page</t>
        </is>
      </c>
      <c r="F90" t="inlineStr"/>
      <c r="G90" t="inlineStr"/>
      <c r="H90" t="inlineStr"/>
    </row>
    <row r="91">
      <c r="A91" t="inlineStr">
        <is>
          <t>PHS-0037</t>
        </is>
      </c>
      <c r="B91" t="inlineStr">
        <is>
          <t>https://www.mousesteps.com/2024/12/27/disneyland-paris-january-2025-pins-revealed/</t>
        </is>
      </c>
      <c r="C91" t="inlineStr">
        <is>
          <t>mousesteps.com</t>
        </is>
      </c>
      <c r="D91" t="inlineStr">
        <is>
          <t>secondary</t>
        </is>
      </c>
      <c r="E91" t="inlineStr">
        <is>
          <t>search snippet / page</t>
        </is>
      </c>
      <c r="F91" t="inlineStr"/>
      <c r="G91" t="inlineStr"/>
      <c r="H91" t="inlineStr"/>
    </row>
    <row r="92">
      <c r="A92" t="inlineStr">
        <is>
          <t>PHS-0038</t>
        </is>
      </c>
      <c r="B92" t="inlineStr">
        <is>
          <t>https://disneypinsblog.com/blogs/news/disneyland-paris-january-2025-pin-trading-time-event-pin-releases</t>
        </is>
      </c>
      <c r="C92" t="inlineStr">
        <is>
          <t>disneypinsblog.com</t>
        </is>
      </c>
      <c r="D92" t="inlineStr">
        <is>
          <t>secondary</t>
        </is>
      </c>
      <c r="E92" t="inlineStr">
        <is>
          <t>search snippet / page</t>
        </is>
      </c>
      <c r="F92" t="inlineStr"/>
      <c r="G92" t="inlineStr"/>
      <c r="H92" t="inlineStr"/>
    </row>
    <row r="93">
      <c r="A93" t="inlineStr">
        <is>
          <t>PHS-0039</t>
        </is>
      </c>
      <c r="B93" t="inlineStr">
        <is>
          <t>https://medium.com/@disney_mouseketeer/disneyland-paris-february-2025-pins-preview-sheet-schedule-77f6c793773a</t>
        </is>
      </c>
      <c r="C93" t="inlineStr">
        <is>
          <t>medium.com</t>
        </is>
      </c>
      <c r="D93" t="inlineStr">
        <is>
          <t>secondary</t>
        </is>
      </c>
      <c r="E93" t="inlineStr">
        <is>
          <t>search snippet / page</t>
        </is>
      </c>
      <c r="F93" t="inlineStr"/>
      <c r="G93" t="inlineStr"/>
      <c r="H93" t="inlineStr"/>
    </row>
    <row r="94">
      <c r="A94" t="inlineStr">
        <is>
          <t>PHS-0039</t>
        </is>
      </c>
      <c r="B94" t="inlineStr">
        <is>
          <t>https://www.mousesteps.com/2025/01/29/disneyland-paris-shares-february-2025-pin-releases/</t>
        </is>
      </c>
      <c r="C94" t="inlineStr">
        <is>
          <t>mousesteps.com</t>
        </is>
      </c>
      <c r="D94" t="inlineStr">
        <is>
          <t>secondary</t>
        </is>
      </c>
      <c r="E94" t="inlineStr">
        <is>
          <t>search snippet / page</t>
        </is>
      </c>
      <c r="F94" t="inlineStr"/>
      <c r="G94" t="inlineStr"/>
      <c r="H94" t="inlineStr"/>
    </row>
    <row r="95">
      <c r="A95" t="inlineStr">
        <is>
          <t>PHS-0040</t>
        </is>
      </c>
      <c r="B95" t="inlineStr">
        <is>
          <t>https://disneypinsblog.com/blogs/news/surprise-tangled-valentines-day-2025-pin-at-disneyland-paris</t>
        </is>
      </c>
      <c r="C95" t="inlineStr">
        <is>
          <t>disneypinsblog.com</t>
        </is>
      </c>
      <c r="D95" t="inlineStr">
        <is>
          <t>secondary</t>
        </is>
      </c>
      <c r="E95" t="inlineStr">
        <is>
          <t>search snippet / page</t>
        </is>
      </c>
      <c r="F95" t="inlineStr"/>
      <c r="G95" t="inlineStr"/>
      <c r="H95" t="inlineStr"/>
    </row>
    <row r="96">
      <c r="A96" t="inlineStr">
        <is>
          <t>PHS-0040</t>
        </is>
      </c>
      <c r="B96" t="inlineStr">
        <is>
          <t>https://disneypinsblog.com/surprise-tangled-valentines-day-2025-pin-at-disneyland-paris/</t>
        </is>
      </c>
      <c r="C96" t="inlineStr">
        <is>
          <t>disneypinsblog.com</t>
        </is>
      </c>
      <c r="D96" t="inlineStr">
        <is>
          <t>secondary</t>
        </is>
      </c>
      <c r="E96" t="inlineStr">
        <is>
          <t>search snippet / page</t>
        </is>
      </c>
      <c r="F96" t="inlineStr"/>
      <c r="G96" t="inlineStr"/>
      <c r="H96" t="inlineStr"/>
    </row>
    <row r="97">
      <c r="A97" t="inlineStr">
        <is>
          <t>PHS-0041</t>
        </is>
      </c>
      <c r="B97" t="inlineStr">
        <is>
          <t>https://medium.com/@disney_mouseketeer/disneyland-paris-february-2025-pins-preview-sheet-schedule-77f6c793773a</t>
        </is>
      </c>
      <c r="C97" t="inlineStr">
        <is>
          <t>medium.com</t>
        </is>
      </c>
      <c r="D97" t="inlineStr">
        <is>
          <t>secondary</t>
        </is>
      </c>
      <c r="E97" t="inlineStr">
        <is>
          <t>search snippet / page</t>
        </is>
      </c>
      <c r="F97" t="inlineStr"/>
      <c r="G97" t="inlineStr"/>
      <c r="H97" t="inlineStr"/>
    </row>
    <row r="98">
      <c r="A98" t="inlineStr">
        <is>
          <t>PHS-0041</t>
        </is>
      </c>
      <c r="B98" t="inlineStr">
        <is>
          <t>https://www.mousesteps.com/2025/01/29/disneyland-paris-shares-february-2025-pin-releases/</t>
        </is>
      </c>
      <c r="C98" t="inlineStr">
        <is>
          <t>mousesteps.com</t>
        </is>
      </c>
      <c r="D98" t="inlineStr">
        <is>
          <t>secondary</t>
        </is>
      </c>
      <c r="E98" t="inlineStr">
        <is>
          <t>search snippet / page</t>
        </is>
      </c>
      <c r="F98" t="inlineStr"/>
      <c r="G98" t="inlineStr"/>
      <c r="H98" t="inlineStr"/>
    </row>
    <row r="99">
      <c r="A99" t="inlineStr">
        <is>
          <t>PHS-0042</t>
        </is>
      </c>
      <c r="B99" t="inlineStr">
        <is>
          <t>https://www.mousesteps.com/2025/01/29/disneyland-paris-shares-february-2025-pin-releases/</t>
        </is>
      </c>
      <c r="C99" t="inlineStr">
        <is>
          <t>mousesteps.com</t>
        </is>
      </c>
      <c r="D99" t="inlineStr">
        <is>
          <t>secondary</t>
        </is>
      </c>
      <c r="E99" t="inlineStr">
        <is>
          <t>search snippet / page</t>
        </is>
      </c>
      <c r="F99" t="inlineStr"/>
      <c r="G99" t="inlineStr"/>
      <c r="H99" t="inlineStr"/>
    </row>
    <row r="100">
      <c r="A100" t="inlineStr">
        <is>
          <t>PHS-0043</t>
        </is>
      </c>
      <c r="B100" t="inlineStr">
        <is>
          <t>https://www.laughingplace.com/w/disney-parks/disneyland-paris-pin-release-march-2025/</t>
        </is>
      </c>
      <c r="C100" t="inlineStr">
        <is>
          <t>laughingplace.com</t>
        </is>
      </c>
      <c r="D100" t="inlineStr">
        <is>
          <t>secondary</t>
        </is>
      </c>
      <c r="E100" t="inlineStr">
        <is>
          <t>search snippet / page</t>
        </is>
      </c>
      <c r="F100" t="inlineStr"/>
      <c r="G100" t="inlineStr"/>
      <c r="H100" t="inlineStr"/>
    </row>
    <row r="101">
      <c r="A101" t="inlineStr">
        <is>
          <t>PHS-0043</t>
        </is>
      </c>
      <c r="B101" t="inlineStr">
        <is>
          <t>https://www.mousesteps.com/2025/02/26/disneyland-paris-pin-releases-for-march-2025-revealed/</t>
        </is>
      </c>
      <c r="C101" t="inlineStr">
        <is>
          <t>mousesteps.com</t>
        </is>
      </c>
      <c r="D101" t="inlineStr">
        <is>
          <t>secondary</t>
        </is>
      </c>
      <c r="E101" t="inlineStr">
        <is>
          <t>search snippet / page</t>
        </is>
      </c>
      <c r="F101" t="inlineStr"/>
      <c r="G101" t="inlineStr"/>
      <c r="H101" t="inlineStr"/>
    </row>
    <row r="102">
      <c r="A102" t="inlineStr">
        <is>
          <t>PHS-0044</t>
        </is>
      </c>
      <c r="B102" t="inlineStr">
        <is>
          <t>https://www.laughingplace.com/w/disney-parks/disneyland-paris-pin-release-march-2025/</t>
        </is>
      </c>
      <c r="C102" t="inlineStr">
        <is>
          <t>laughingplace.com</t>
        </is>
      </c>
      <c r="D102" t="inlineStr">
        <is>
          <t>secondary</t>
        </is>
      </c>
      <c r="E102" t="inlineStr">
        <is>
          <t>search snippet / page</t>
        </is>
      </c>
      <c r="F102" t="inlineStr"/>
      <c r="G102" t="inlineStr"/>
      <c r="H102" t="inlineStr"/>
    </row>
    <row r="103">
      <c r="A103" t="inlineStr">
        <is>
          <t>PHS-0044</t>
        </is>
      </c>
      <c r="B103" t="inlineStr">
        <is>
          <t>https://www.mousesteps.com/2025/02/26/disneyland-paris-pin-releases-for-march-2025-revealed/</t>
        </is>
      </c>
      <c r="C103" t="inlineStr">
        <is>
          <t>mousesteps.com</t>
        </is>
      </c>
      <c r="D103" t="inlineStr">
        <is>
          <t>secondary</t>
        </is>
      </c>
      <c r="E103" t="inlineStr">
        <is>
          <t>search snippet / page</t>
        </is>
      </c>
      <c r="F103" t="inlineStr"/>
      <c r="G103" t="inlineStr"/>
      <c r="H103" t="inlineStr"/>
    </row>
    <row r="104">
      <c r="A104" t="inlineStr">
        <is>
          <t>PHS-0045</t>
        </is>
      </c>
      <c r="B104" t="inlineStr">
        <is>
          <t>https://www.laughingplace.com/w/disney-parks/disneyland-paris-pin-release-march-2025/</t>
        </is>
      </c>
      <c r="C104" t="inlineStr">
        <is>
          <t>laughingplace.com</t>
        </is>
      </c>
      <c r="D104" t="inlineStr">
        <is>
          <t>secondary</t>
        </is>
      </c>
      <c r="E104" t="inlineStr">
        <is>
          <t>search snippet / page</t>
        </is>
      </c>
      <c r="F104" t="inlineStr"/>
      <c r="G104" t="inlineStr"/>
      <c r="H104" t="inlineStr"/>
    </row>
    <row r="105">
      <c r="A105" t="inlineStr">
        <is>
          <t>PHS-0045</t>
        </is>
      </c>
      <c r="B105" t="inlineStr">
        <is>
          <t>https://www.mousesteps.com/2025/02/26/disneyland-paris-pin-releases-for-march-2025-revealed/</t>
        </is>
      </c>
      <c r="C105" t="inlineStr">
        <is>
          <t>mousesteps.com</t>
        </is>
      </c>
      <c r="D105" t="inlineStr">
        <is>
          <t>secondary</t>
        </is>
      </c>
      <c r="E105" t="inlineStr">
        <is>
          <t>search snippet / page</t>
        </is>
      </c>
      <c r="F105" t="inlineStr"/>
      <c r="G105" t="inlineStr"/>
      <c r="H105" t="inlineStr"/>
    </row>
    <row r="106">
      <c r="A106" t="inlineStr">
        <is>
          <t>PHS-0046</t>
        </is>
      </c>
      <c r="B106" t="inlineStr">
        <is>
          <t>https://www.laughingplace.com/w/disney-parks/disneyland-paris-pin-release-march-2025/</t>
        </is>
      </c>
      <c r="C106" t="inlineStr">
        <is>
          <t>laughingplace.com</t>
        </is>
      </c>
      <c r="D106" t="inlineStr">
        <is>
          <t>secondary</t>
        </is>
      </c>
      <c r="E106" t="inlineStr">
        <is>
          <t>search snippet / page</t>
        </is>
      </c>
      <c r="F106" t="inlineStr"/>
      <c r="G106" t="inlineStr"/>
      <c r="H106" t="inlineStr"/>
    </row>
    <row r="107">
      <c r="A107" t="inlineStr">
        <is>
          <t>PHS-0046</t>
        </is>
      </c>
      <c r="B107" t="inlineStr">
        <is>
          <t>https://www.mousesteps.com/2025/02/26/disneyland-paris-pin-releases-for-march-2025-revealed/</t>
        </is>
      </c>
      <c r="C107" t="inlineStr">
        <is>
          <t>mousesteps.com</t>
        </is>
      </c>
      <c r="D107" t="inlineStr">
        <is>
          <t>secondary</t>
        </is>
      </c>
      <c r="E107" t="inlineStr">
        <is>
          <t>search snippet / page</t>
        </is>
      </c>
      <c r="F107" t="inlineStr"/>
      <c r="G107" t="inlineStr"/>
      <c r="H107" t="inlineStr"/>
    </row>
    <row r="108">
      <c r="A108" t="inlineStr">
        <is>
          <t>PHS-0047</t>
        </is>
      </c>
      <c r="B108" t="inlineStr">
        <is>
          <t>https://www.laughingplace.com/w/disney-parks/disneyland-paris-pin-release-march-2025/</t>
        </is>
      </c>
      <c r="C108" t="inlineStr">
        <is>
          <t>laughingplace.com</t>
        </is>
      </c>
      <c r="D108" t="inlineStr">
        <is>
          <t>secondary</t>
        </is>
      </c>
      <c r="E108" t="inlineStr">
        <is>
          <t>search snippet / page</t>
        </is>
      </c>
      <c r="F108" t="inlineStr"/>
      <c r="G108" t="inlineStr"/>
      <c r="H108" t="inlineStr"/>
    </row>
    <row r="109">
      <c r="A109" t="inlineStr">
        <is>
          <t>PHS-0047</t>
        </is>
      </c>
      <c r="B109" t="inlineStr">
        <is>
          <t>https://www.mousesteps.com/2025/02/26/disneyland-paris-pin-releases-for-march-2025-revealed/</t>
        </is>
      </c>
      <c r="C109" t="inlineStr">
        <is>
          <t>mousesteps.com</t>
        </is>
      </c>
      <c r="D109" t="inlineStr">
        <is>
          <t>secondary</t>
        </is>
      </c>
      <c r="E109" t="inlineStr">
        <is>
          <t>search snippet / page</t>
        </is>
      </c>
      <c r="F109" t="inlineStr"/>
      <c r="G109" t="inlineStr"/>
      <c r="H109" t="inlineStr"/>
    </row>
    <row r="110">
      <c r="A110" t="inlineStr">
        <is>
          <t>PHS-0048</t>
        </is>
      </c>
      <c r="B110" t="inlineStr">
        <is>
          <t>https://www.laughingplace.com/w/disney-parks/disneyland-paris-pin-release-march-2025/</t>
        </is>
      </c>
      <c r="C110" t="inlineStr">
        <is>
          <t>laughingplace.com</t>
        </is>
      </c>
      <c r="D110" t="inlineStr">
        <is>
          <t>secondary</t>
        </is>
      </c>
      <c r="E110" t="inlineStr">
        <is>
          <t>search snippet / page</t>
        </is>
      </c>
      <c r="F110" t="inlineStr"/>
      <c r="G110" t="inlineStr"/>
      <c r="H110" t="inlineStr"/>
    </row>
    <row r="111">
      <c r="A111" t="inlineStr">
        <is>
          <t>PHS-0048</t>
        </is>
      </c>
      <c r="B111" t="inlineStr">
        <is>
          <t>https://www.mousesteps.com/2025/02/26/disneyland-paris-pin-releases-for-march-2025-revealed/</t>
        </is>
      </c>
      <c r="C111" t="inlineStr">
        <is>
          <t>mousesteps.com</t>
        </is>
      </c>
      <c r="D111" t="inlineStr">
        <is>
          <t>secondary</t>
        </is>
      </c>
      <c r="E111" t="inlineStr">
        <is>
          <t>search snippet / page</t>
        </is>
      </c>
      <c r="F111" t="inlineStr"/>
      <c r="G111" t="inlineStr"/>
      <c r="H111" t="inlineStr"/>
    </row>
    <row r="112">
      <c r="A112" t="inlineStr">
        <is>
          <t>PHS-0049</t>
        </is>
      </c>
      <c r="B112" t="inlineStr">
        <is>
          <t>https://www.laughingplace.com/w/disney-parks/disneyland-paris-pin-release-march-2025/</t>
        </is>
      </c>
      <c r="C112" t="inlineStr">
        <is>
          <t>laughingplace.com</t>
        </is>
      </c>
      <c r="D112" t="inlineStr">
        <is>
          <t>secondary</t>
        </is>
      </c>
      <c r="E112" t="inlineStr">
        <is>
          <t>search snippet / page</t>
        </is>
      </c>
      <c r="F112" t="inlineStr"/>
      <c r="G112" t="inlineStr"/>
      <c r="H112" t="inlineStr"/>
    </row>
    <row r="113">
      <c r="A113" t="inlineStr">
        <is>
          <t>PHS-0049</t>
        </is>
      </c>
      <c r="B113" t="inlineStr">
        <is>
          <t>https://www.mousesteps.com/2025/02/26/disneyland-paris-pin-releases-for-march-2025-revealed/</t>
        </is>
      </c>
      <c r="C113" t="inlineStr">
        <is>
          <t>mousesteps.com</t>
        </is>
      </c>
      <c r="D113" t="inlineStr">
        <is>
          <t>secondary</t>
        </is>
      </c>
      <c r="E113" t="inlineStr">
        <is>
          <t>search snippet / page</t>
        </is>
      </c>
      <c r="F113" t="inlineStr"/>
      <c r="G113" t="inlineStr"/>
      <c r="H113" t="inlineStr"/>
    </row>
    <row r="114">
      <c r="A114" t="inlineStr">
        <is>
          <t>PHS-0050</t>
        </is>
      </c>
      <c r="B114" t="inlineStr">
        <is>
          <t>https://www.laughingplace.com/w/disney-parks/disneyland-paris-pin-release-march-2025/</t>
        </is>
      </c>
      <c r="C114" t="inlineStr">
        <is>
          <t>laughingplace.com</t>
        </is>
      </c>
      <c r="D114" t="inlineStr">
        <is>
          <t>secondary</t>
        </is>
      </c>
      <c r="E114" t="inlineStr">
        <is>
          <t>search snippet / page</t>
        </is>
      </c>
      <c r="F114" t="inlineStr"/>
      <c r="G114" t="inlineStr"/>
      <c r="H114" t="inlineStr"/>
    </row>
    <row r="115">
      <c r="A115" t="inlineStr">
        <is>
          <t>PHS-0050</t>
        </is>
      </c>
      <c r="B115" t="inlineStr">
        <is>
          <t>https://www.mousesteps.com/2025/02/26/disneyland-paris-pin-releases-for-march-2025-revealed/</t>
        </is>
      </c>
      <c r="C115" t="inlineStr">
        <is>
          <t>mousesteps.com</t>
        </is>
      </c>
      <c r="D115" t="inlineStr">
        <is>
          <t>secondary</t>
        </is>
      </c>
      <c r="E115" t="inlineStr">
        <is>
          <t>search snippet / page</t>
        </is>
      </c>
      <c r="F115" t="inlineStr"/>
      <c r="G115" t="inlineStr"/>
      <c r="H115" t="inlineStr"/>
    </row>
    <row r="116">
      <c r="A116" t="inlineStr">
        <is>
          <t>PHS-0051</t>
        </is>
      </c>
      <c r="B116" t="inlineStr">
        <is>
          <t>https://www.laughingplace.com/w/disney-parks/disneyland-paris-pin-release-march-2025/</t>
        </is>
      </c>
      <c r="C116" t="inlineStr">
        <is>
          <t>laughingplace.com</t>
        </is>
      </c>
      <c r="D116" t="inlineStr">
        <is>
          <t>secondary</t>
        </is>
      </c>
      <c r="E116" t="inlineStr">
        <is>
          <t>search snippet / page</t>
        </is>
      </c>
      <c r="F116" t="inlineStr"/>
      <c r="G116" t="inlineStr"/>
      <c r="H116" t="inlineStr"/>
    </row>
    <row r="117">
      <c r="A117" t="inlineStr">
        <is>
          <t>PHS-0051</t>
        </is>
      </c>
      <c r="B117" t="inlineStr">
        <is>
          <t>https://www.mousesteps.com/2025/02/26/disneyland-paris-pin-releases-for-march-2025-revealed/</t>
        </is>
      </c>
      <c r="C117" t="inlineStr">
        <is>
          <t>mousesteps.com</t>
        </is>
      </c>
      <c r="D117" t="inlineStr">
        <is>
          <t>secondary</t>
        </is>
      </c>
      <c r="E117" t="inlineStr">
        <is>
          <t>search snippet / page</t>
        </is>
      </c>
      <c r="F117" t="inlineStr"/>
      <c r="G117" t="inlineStr"/>
      <c r="H117" t="inlineStr"/>
    </row>
    <row r="118">
      <c r="A118" t="inlineStr">
        <is>
          <t>PHS-0052</t>
        </is>
      </c>
      <c r="B118" t="inlineStr">
        <is>
          <t>https://disneypinsblog.com/disneyland-paris-march-2025-pin-releases/</t>
        </is>
      </c>
      <c r="C118" t="inlineStr">
        <is>
          <t>disneypinsblog.com</t>
        </is>
      </c>
      <c r="D118" t="inlineStr">
        <is>
          <t>secondary</t>
        </is>
      </c>
      <c r="E118" t="inlineStr">
        <is>
          <t>search snippet / page</t>
        </is>
      </c>
      <c r="F118" t="inlineStr"/>
      <c r="G118" t="inlineStr"/>
      <c r="H118" t="inlineStr"/>
    </row>
    <row r="119">
      <c r="A119" t="inlineStr">
        <is>
          <t>PHS-0052</t>
        </is>
      </c>
      <c r="B119" t="inlineStr">
        <is>
          <t>https://www.laughingplace.com/w/disney-parks/disneyland-paris-pin-release-march-2025/</t>
        </is>
      </c>
      <c r="C119" t="inlineStr">
        <is>
          <t>laughingplace.com</t>
        </is>
      </c>
      <c r="D119" t="inlineStr">
        <is>
          <t>secondary</t>
        </is>
      </c>
      <c r="E119" t="inlineStr">
        <is>
          <t>search snippet / page</t>
        </is>
      </c>
      <c r="F119" t="inlineStr"/>
      <c r="G119" t="inlineStr"/>
      <c r="H119" t="inlineStr"/>
    </row>
    <row r="120">
      <c r="A120" t="inlineStr">
        <is>
          <t>PHS-0052</t>
        </is>
      </c>
      <c r="B120" t="inlineStr">
        <is>
          <t>https://www.mousesteps.com/2025/02/26/disneyland-paris-pin-releases-for-march-2025-revealed/</t>
        </is>
      </c>
      <c r="C120" t="inlineStr">
        <is>
          <t>mousesteps.com</t>
        </is>
      </c>
      <c r="D120" t="inlineStr">
        <is>
          <t>secondary</t>
        </is>
      </c>
      <c r="E120" t="inlineStr">
        <is>
          <t>search snippet / page</t>
        </is>
      </c>
      <c r="F120" t="inlineStr"/>
      <c r="G120" t="inlineStr"/>
      <c r="H120" t="inlineStr"/>
    </row>
    <row r="121">
      <c r="A121" t="inlineStr">
        <is>
          <t>PHS-0053</t>
        </is>
      </c>
      <c r="B121" t="inlineStr">
        <is>
          <t>https://www.mousesteps.com/2025/02/26/disneyland-paris-pin-releases-for-march-2025-revealed/</t>
        </is>
      </c>
      <c r="C121" t="inlineStr">
        <is>
          <t>mousesteps.com</t>
        </is>
      </c>
      <c r="D121" t="inlineStr">
        <is>
          <t>secondary</t>
        </is>
      </c>
      <c r="E121" t="inlineStr">
        <is>
          <t>search snippet / page</t>
        </is>
      </c>
      <c r="F121" t="inlineStr"/>
      <c r="G121" t="inlineStr"/>
      <c r="H121" t="inlineStr"/>
    </row>
    <row r="122">
      <c r="A122" t="inlineStr">
        <is>
          <t>PHS-0054</t>
        </is>
      </c>
      <c r="B122" t="inlineStr">
        <is>
          <t>https://disneypinsblog.com/disneyland-paris-april-2025-pin-releases/</t>
        </is>
      </c>
      <c r="C122" t="inlineStr">
        <is>
          <t>disneypinsblog.com</t>
        </is>
      </c>
      <c r="D122" t="inlineStr">
        <is>
          <t>secondary</t>
        </is>
      </c>
      <c r="E122" t="inlineStr">
        <is>
          <t>search snippet / page</t>
        </is>
      </c>
      <c r="F122" t="inlineStr"/>
      <c r="G122" t="inlineStr"/>
      <c r="H122" t="inlineStr"/>
    </row>
    <row r="123">
      <c r="A123" t="inlineStr">
        <is>
          <t>PHS-0054</t>
        </is>
      </c>
      <c r="B123" t="inlineStr">
        <is>
          <t>https://mypincentral.com/blog_post/pin-releases-disneyland-paris-disneyland-paris-flyer-for-april-2025</t>
        </is>
      </c>
      <c r="C123" t="inlineStr">
        <is>
          <t>mypincentral.com</t>
        </is>
      </c>
      <c r="D123" t="inlineStr">
        <is>
          <t>secondary</t>
        </is>
      </c>
      <c r="E123" t="inlineStr">
        <is>
          <t>search snippet / page</t>
        </is>
      </c>
      <c r="F123" t="inlineStr"/>
      <c r="G123" t="inlineStr"/>
      <c r="H123" t="inlineStr"/>
    </row>
    <row r="124">
      <c r="A124" t="inlineStr">
        <is>
          <t>PHS-0054</t>
        </is>
      </c>
      <c r="B124" t="inlineStr">
        <is>
          <t>https://pixiedustdlp.com/2025/03/31/disneyland-paris-pin-trading-april-2025/</t>
        </is>
      </c>
      <c r="C124" t="inlineStr">
        <is>
          <t>pixiedustdlp.com</t>
        </is>
      </c>
      <c r="D124" t="inlineStr">
        <is>
          <t>secondary</t>
        </is>
      </c>
      <c r="E124" t="inlineStr">
        <is>
          <t>search snippet / page</t>
        </is>
      </c>
      <c r="F124" t="inlineStr"/>
      <c r="G124" t="inlineStr"/>
      <c r="H124" t="inlineStr"/>
    </row>
    <row r="125">
      <c r="A125" t="inlineStr">
        <is>
          <t>PHS-0054</t>
        </is>
      </c>
      <c r="B125" t="inlineStr">
        <is>
          <t>https://www.mousesteps.com/2025/03/31/disneyland-paris-reveals-april-2025-pin-releases/</t>
        </is>
      </c>
      <c r="C125" t="inlineStr">
        <is>
          <t>mousesteps.com</t>
        </is>
      </c>
      <c r="D125" t="inlineStr">
        <is>
          <t>secondary</t>
        </is>
      </c>
      <c r="E125" t="inlineStr">
        <is>
          <t>search snippet / page</t>
        </is>
      </c>
      <c r="F125" t="inlineStr"/>
      <c r="G125" t="inlineStr"/>
      <c r="H125" t="inlineStr"/>
    </row>
    <row r="126">
      <c r="A126" t="inlineStr">
        <is>
          <t>PHS-0055</t>
        </is>
      </c>
      <c r="B126" t="inlineStr">
        <is>
          <t>https://disneypinsblog.com/blogs/news/disneyland-paris-april-2025-pin-releases</t>
        </is>
      </c>
      <c r="C126" t="inlineStr">
        <is>
          <t>disneypinsblog.com</t>
        </is>
      </c>
      <c r="D126" t="inlineStr">
        <is>
          <t>secondary</t>
        </is>
      </c>
      <c r="E126" t="inlineStr">
        <is>
          <t>search snippet / page</t>
        </is>
      </c>
      <c r="F126" t="inlineStr"/>
      <c r="G126" t="inlineStr"/>
      <c r="H126" t="inlineStr"/>
    </row>
    <row r="127">
      <c r="A127" t="inlineStr">
        <is>
          <t>PHS-0055</t>
        </is>
      </c>
      <c r="B127" t="inlineStr">
        <is>
          <t>https://mypincentral.com/blog_post/pin-releases-disneyland-paris-disneyland-paris-flyer-for-april-2025</t>
        </is>
      </c>
      <c r="C127" t="inlineStr">
        <is>
          <t>mypincentral.com</t>
        </is>
      </c>
      <c r="D127" t="inlineStr">
        <is>
          <t>secondary</t>
        </is>
      </c>
      <c r="E127" t="inlineStr">
        <is>
          <t>search snippet / page</t>
        </is>
      </c>
      <c r="F127" t="inlineStr"/>
      <c r="G127" t="inlineStr"/>
      <c r="H127" t="inlineStr"/>
    </row>
    <row r="128">
      <c r="A128" t="inlineStr">
        <is>
          <t>PHS-0055</t>
        </is>
      </c>
      <c r="B128" t="inlineStr">
        <is>
          <t>https://www.mousesteps.com/2025/03/31/disneyland-paris-reveals-april-2025-pin-releases/</t>
        </is>
      </c>
      <c r="C128" t="inlineStr">
        <is>
          <t>mousesteps.com</t>
        </is>
      </c>
      <c r="D128" t="inlineStr">
        <is>
          <t>secondary</t>
        </is>
      </c>
      <c r="E128" t="inlineStr">
        <is>
          <t>search snippet / page</t>
        </is>
      </c>
      <c r="F128" t="inlineStr"/>
      <c r="G128" t="inlineStr"/>
      <c r="H128" t="inlineStr"/>
    </row>
    <row r="129">
      <c r="A129" t="inlineStr">
        <is>
          <t>PHS-0056</t>
        </is>
      </c>
      <c r="B129" t="inlineStr">
        <is>
          <t>https://mypincentral.com/blog_post/pin-releases-disneyland-paris-disneyland-paris-flyer-for-april-2025</t>
        </is>
      </c>
      <c r="C129" t="inlineStr">
        <is>
          <t>mypincentral.com</t>
        </is>
      </c>
      <c r="D129" t="inlineStr">
        <is>
          <t>secondary</t>
        </is>
      </c>
      <c r="E129" t="inlineStr">
        <is>
          <t>search snippet / page</t>
        </is>
      </c>
      <c r="F129" t="inlineStr"/>
      <c r="G129" t="inlineStr"/>
      <c r="H129" t="inlineStr"/>
    </row>
    <row r="130">
      <c r="A130" t="inlineStr">
        <is>
          <t>PHS-0056</t>
        </is>
      </c>
      <c r="B130" t="inlineStr">
        <is>
          <t>https://www.mousesteps.com/2025/03/31/disneyland-paris-reveals-april-2025-pin-releases/</t>
        </is>
      </c>
      <c r="C130" t="inlineStr">
        <is>
          <t>mousesteps.com</t>
        </is>
      </c>
      <c r="D130" t="inlineStr">
        <is>
          <t>secondary</t>
        </is>
      </c>
      <c r="E130" t="inlineStr">
        <is>
          <t>search snippet / page</t>
        </is>
      </c>
      <c r="F130" t="inlineStr"/>
      <c r="G130" t="inlineStr"/>
      <c r="H130" t="inlineStr"/>
    </row>
    <row r="131">
      <c r="A131" t="inlineStr">
        <is>
          <t>PHS-0057</t>
        </is>
      </c>
      <c r="B131" t="inlineStr">
        <is>
          <t>https://mypincentral.com/blog_post/pin-releases-disneyland-paris-disneyland-paris-flyer-for-april-2025</t>
        </is>
      </c>
      <c r="C131" t="inlineStr">
        <is>
          <t>mypincentral.com</t>
        </is>
      </c>
      <c r="D131" t="inlineStr">
        <is>
          <t>secondary</t>
        </is>
      </c>
      <c r="E131" t="inlineStr">
        <is>
          <t>search snippet / page</t>
        </is>
      </c>
      <c r="F131" t="inlineStr"/>
      <c r="G131" t="inlineStr"/>
      <c r="H131" t="inlineStr"/>
    </row>
    <row r="132">
      <c r="A132" t="inlineStr">
        <is>
          <t>PHS-0057</t>
        </is>
      </c>
      <c r="B132" t="inlineStr">
        <is>
          <t>https://pixiedustdlp.com/2025/03/31/disneyland-paris-pin-trading-april-2025/</t>
        </is>
      </c>
      <c r="C132" t="inlineStr">
        <is>
          <t>pixiedustdlp.com</t>
        </is>
      </c>
      <c r="D132" t="inlineStr">
        <is>
          <t>secondary</t>
        </is>
      </c>
      <c r="E132" t="inlineStr">
        <is>
          <t>search snippet / page</t>
        </is>
      </c>
      <c r="F132" t="inlineStr"/>
      <c r="G132" t="inlineStr"/>
      <c r="H132" t="inlineStr"/>
    </row>
    <row r="133">
      <c r="A133" t="inlineStr">
        <is>
          <t>PHS-0058</t>
        </is>
      </c>
      <c r="B133" t="inlineStr">
        <is>
          <t>https://mypincentral.com/blog_post/pin-releases-disneyland-paris-disneyland-paris-flyer-for-april-2025</t>
        </is>
      </c>
      <c r="C133" t="inlineStr">
        <is>
          <t>mypincentral.com</t>
        </is>
      </c>
      <c r="D133" t="inlineStr">
        <is>
          <t>secondary</t>
        </is>
      </c>
      <c r="E133" t="inlineStr">
        <is>
          <t>search snippet / page</t>
        </is>
      </c>
      <c r="F133" t="inlineStr"/>
      <c r="G133" t="inlineStr"/>
      <c r="H133" t="inlineStr"/>
    </row>
    <row r="134">
      <c r="A134" t="inlineStr">
        <is>
          <t>PHS-0058</t>
        </is>
      </c>
      <c r="B134" t="inlineStr">
        <is>
          <t>https://pixiedustdlp.com/2025/03/31/disneyland-paris-pin-trading-april-2025/</t>
        </is>
      </c>
      <c r="C134" t="inlineStr">
        <is>
          <t>pixiedustdlp.com</t>
        </is>
      </c>
      <c r="D134" t="inlineStr">
        <is>
          <t>secondary</t>
        </is>
      </c>
      <c r="E134" t="inlineStr">
        <is>
          <t>search snippet / page</t>
        </is>
      </c>
      <c r="F134" t="inlineStr"/>
      <c r="G134" t="inlineStr"/>
      <c r="H134" t="inlineStr"/>
    </row>
    <row r="135">
      <c r="A135" t="inlineStr">
        <is>
          <t>PHS-0059</t>
        </is>
      </c>
      <c r="B135" t="inlineStr">
        <is>
          <t>https://disneypinsblog.com/disneyland-paris-april-2025-pin-trading-time-event-pin-releases/</t>
        </is>
      </c>
      <c r="C135" t="inlineStr">
        <is>
          <t>disneypinsblog.com</t>
        </is>
      </c>
      <c r="D135" t="inlineStr">
        <is>
          <t>secondary</t>
        </is>
      </c>
      <c r="E135" t="inlineStr">
        <is>
          <t>search snippet / page</t>
        </is>
      </c>
      <c r="F135" t="inlineStr"/>
      <c r="G135" t="inlineStr"/>
      <c r="H135" t="inlineStr"/>
    </row>
    <row r="136">
      <c r="A136" t="inlineStr">
        <is>
          <t>PHS-0060</t>
        </is>
      </c>
      <c r="B136" t="inlineStr">
        <is>
          <t>https://mypincentral.com/blog_post/pin-releases-disneyland-paris-disneyland-paris-flyer-for-april-2025</t>
        </is>
      </c>
      <c r="C136" t="inlineStr">
        <is>
          <t>mypincentral.com</t>
        </is>
      </c>
      <c r="D136" t="inlineStr">
        <is>
          <t>secondary</t>
        </is>
      </c>
      <c r="E136" t="inlineStr">
        <is>
          <t>search snippet / page</t>
        </is>
      </c>
      <c r="F136" t="inlineStr"/>
      <c r="G136" t="inlineStr"/>
      <c r="H136" t="inlineStr"/>
    </row>
    <row r="137">
      <c r="A137" t="inlineStr">
        <is>
          <t>PHS-0061</t>
        </is>
      </c>
      <c r="B137" t="inlineStr">
        <is>
          <t>https://mypincentral.com/blog_post/pin-releases-disneyland-paris-disneyland-paris-flyer-for-april-2025</t>
        </is>
      </c>
      <c r="C137" t="inlineStr">
        <is>
          <t>mypincentral.com</t>
        </is>
      </c>
      <c r="D137" t="inlineStr">
        <is>
          <t>secondary</t>
        </is>
      </c>
      <c r="E137" t="inlineStr">
        <is>
          <t>search snippet / page</t>
        </is>
      </c>
      <c r="F137" t="inlineStr"/>
      <c r="G137" t="inlineStr"/>
      <c r="H137" t="inlineStr"/>
    </row>
    <row r="138">
      <c r="A138" t="inlineStr">
        <is>
          <t>PHS-0062</t>
        </is>
      </c>
      <c r="B138" t="inlineStr">
        <is>
          <t>https://disneymouseketeer.com/disneyland-paris-may-2025-pins-preview-sheet-schedule/</t>
        </is>
      </c>
      <c r="C138" t="inlineStr">
        <is>
          <t>disneymouseketeer.com</t>
        </is>
      </c>
      <c r="D138" t="inlineStr">
        <is>
          <t>secondary</t>
        </is>
      </c>
      <c r="E138" t="inlineStr">
        <is>
          <t>search snippet / page</t>
        </is>
      </c>
      <c r="F138" t="inlineStr"/>
      <c r="G138" t="inlineStr"/>
      <c r="H138" t="inlineStr"/>
    </row>
    <row r="139">
      <c r="A139" t="inlineStr">
        <is>
          <t>PHS-0062</t>
        </is>
      </c>
      <c r="B139" t="inlineStr">
        <is>
          <t>https://www.mousesteps.com/2025/05/01/disneyland-paris-pin-releases-for-may-2025-revealed/</t>
        </is>
      </c>
      <c r="C139" t="inlineStr">
        <is>
          <t>mousesteps.com</t>
        </is>
      </c>
      <c r="D139" t="inlineStr">
        <is>
          <t>secondary</t>
        </is>
      </c>
      <c r="E139" t="inlineStr">
        <is>
          <t>search snippet / page</t>
        </is>
      </c>
      <c r="F139" t="inlineStr"/>
      <c r="G139" t="inlineStr"/>
      <c r="H139" t="inlineStr"/>
    </row>
    <row r="140">
      <c r="A140" t="inlineStr">
        <is>
          <t>PHS-0063</t>
        </is>
      </c>
      <c r="B140" t="inlineStr">
        <is>
          <t>https://disneymouseketeer.com/disneyland-paris-may-2025-pins-preview-sheet-schedule/</t>
        </is>
      </c>
      <c r="C140" t="inlineStr">
        <is>
          <t>disneymouseketeer.com</t>
        </is>
      </c>
      <c r="D140" t="inlineStr">
        <is>
          <t>secondary</t>
        </is>
      </c>
      <c r="E140" t="inlineStr">
        <is>
          <t>search snippet / page</t>
        </is>
      </c>
      <c r="F140" t="inlineStr"/>
      <c r="G140" t="inlineStr"/>
      <c r="H140" t="inlineStr"/>
    </row>
    <row r="141">
      <c r="A141" t="inlineStr">
        <is>
          <t>PHS-0063</t>
        </is>
      </c>
      <c r="B141" t="inlineStr">
        <is>
          <t>https://disneypinsblog.com/disneyland-paris-may-2025-pin-releases/</t>
        </is>
      </c>
      <c r="C141" t="inlineStr">
        <is>
          <t>disneypinsblog.com</t>
        </is>
      </c>
      <c r="D141" t="inlineStr">
        <is>
          <t>secondary</t>
        </is>
      </c>
      <c r="E141" t="inlineStr">
        <is>
          <t>search snippet / page</t>
        </is>
      </c>
      <c r="F141" t="inlineStr"/>
      <c r="G141" t="inlineStr"/>
      <c r="H141" t="inlineStr"/>
    </row>
    <row r="142">
      <c r="A142" t="inlineStr">
        <is>
          <t>PHS-0063</t>
        </is>
      </c>
      <c r="B142" t="inlineStr">
        <is>
          <t>https://www.mousesteps.com/2025/05/01/disneyland-paris-pin-releases-for-may-2025-revealed/</t>
        </is>
      </c>
      <c r="C142" t="inlineStr">
        <is>
          <t>mousesteps.com</t>
        </is>
      </c>
      <c r="D142" t="inlineStr">
        <is>
          <t>secondary</t>
        </is>
      </c>
      <c r="E142" t="inlineStr">
        <is>
          <t>search snippet / page</t>
        </is>
      </c>
      <c r="F142" t="inlineStr"/>
      <c r="G142" t="inlineStr"/>
      <c r="H142" t="inlineStr"/>
    </row>
    <row r="143">
      <c r="A143" t="inlineStr">
        <is>
          <t>PHS-0064</t>
        </is>
      </c>
      <c r="B143" t="inlineStr">
        <is>
          <t>https://disneypinsblog.com/blogs/news/disneyland-paris-may-2025-pin-releases</t>
        </is>
      </c>
      <c r="C143" t="inlineStr">
        <is>
          <t>disneypinsblog.com</t>
        </is>
      </c>
      <c r="D143" t="inlineStr">
        <is>
          <t>secondary</t>
        </is>
      </c>
      <c r="E143" t="inlineStr">
        <is>
          <t>search snippet / page</t>
        </is>
      </c>
      <c r="F143" t="inlineStr"/>
      <c r="G143" t="inlineStr"/>
      <c r="H143" t="inlineStr"/>
    </row>
    <row r="144">
      <c r="A144" t="inlineStr">
        <is>
          <t>PHS-0064</t>
        </is>
      </c>
      <c r="B144" t="inlineStr">
        <is>
          <t>https://www.mousesteps.com/2025/05/01/disneyland-paris-pin-releases-for-may-2025-revealed/</t>
        </is>
      </c>
      <c r="C144" t="inlineStr">
        <is>
          <t>mousesteps.com</t>
        </is>
      </c>
      <c r="D144" t="inlineStr">
        <is>
          <t>secondary</t>
        </is>
      </c>
      <c r="E144" t="inlineStr">
        <is>
          <t>search snippet / page</t>
        </is>
      </c>
      <c r="F144" t="inlineStr"/>
      <c r="G144" t="inlineStr"/>
      <c r="H144" t="inlineStr"/>
    </row>
    <row r="145">
      <c r="A145" t="inlineStr">
        <is>
          <t>PHS-0065</t>
        </is>
      </c>
      <c r="B145" t="inlineStr">
        <is>
          <t>https://disneypinsblog.com/blogs/news/disneyland-paris-may-2025-pin-releases</t>
        </is>
      </c>
      <c r="C145" t="inlineStr">
        <is>
          <t>disneypinsblog.com</t>
        </is>
      </c>
      <c r="D145" t="inlineStr">
        <is>
          <t>secondary</t>
        </is>
      </c>
      <c r="E145" t="inlineStr">
        <is>
          <t>search snippet / page</t>
        </is>
      </c>
      <c r="F145" t="inlineStr"/>
      <c r="G145" t="inlineStr"/>
      <c r="H145" t="inlineStr"/>
    </row>
    <row r="146">
      <c r="A146" t="inlineStr">
        <is>
          <t>PHS-0065</t>
        </is>
      </c>
      <c r="B146" t="inlineStr">
        <is>
          <t>https://www.mousesteps.com/2025/05/01/disneyland-paris-pin-releases-for-may-2025-revealed/</t>
        </is>
      </c>
      <c r="C146" t="inlineStr">
        <is>
          <t>mousesteps.com</t>
        </is>
      </c>
      <c r="D146" t="inlineStr">
        <is>
          <t>secondary</t>
        </is>
      </c>
      <c r="E146" t="inlineStr">
        <is>
          <t>search snippet / page</t>
        </is>
      </c>
      <c r="F146" t="inlineStr"/>
      <c r="G146" t="inlineStr"/>
      <c r="H146" t="inlineStr"/>
    </row>
    <row r="147">
      <c r="A147" t="inlineStr">
        <is>
          <t>PHS-0066</t>
        </is>
      </c>
      <c r="B147" t="inlineStr">
        <is>
          <t>https://disneymouseketeer.com/disneyland-paris-may-2025-pins-preview-sheet-schedule/</t>
        </is>
      </c>
      <c r="C147" t="inlineStr">
        <is>
          <t>disneymouseketeer.com</t>
        </is>
      </c>
      <c r="D147" t="inlineStr">
        <is>
          <t>secondary</t>
        </is>
      </c>
      <c r="E147" t="inlineStr">
        <is>
          <t>search snippet / page</t>
        </is>
      </c>
      <c r="F147" t="inlineStr"/>
      <c r="G147" t="inlineStr"/>
      <c r="H147" t="inlineStr"/>
    </row>
    <row r="148">
      <c r="A148" t="inlineStr">
        <is>
          <t>PHS-0066</t>
        </is>
      </c>
      <c r="B148" t="inlineStr">
        <is>
          <t>https://www.mousesteps.com/2025/05/01/disneyland-paris-pin-releases-for-may-2025-revealed/</t>
        </is>
      </c>
      <c r="C148" t="inlineStr">
        <is>
          <t>mousesteps.com</t>
        </is>
      </c>
      <c r="D148" t="inlineStr">
        <is>
          <t>secondary</t>
        </is>
      </c>
      <c r="E148" t="inlineStr">
        <is>
          <t>search snippet / page</t>
        </is>
      </c>
      <c r="F148" t="inlineStr"/>
      <c r="G148" t="inlineStr"/>
      <c r="H148" t="inlineStr"/>
    </row>
    <row r="149">
      <c r="A149" t="inlineStr">
        <is>
          <t>PHS-0067</t>
        </is>
      </c>
      <c r="B149" t="inlineStr">
        <is>
          <t>https://www.mousesteps.com/2025/05/01/disneyland-paris-pin-releases-for-may-2025-revealed/</t>
        </is>
      </c>
      <c r="C149" t="inlineStr">
        <is>
          <t>mousesteps.com</t>
        </is>
      </c>
      <c r="D149" t="inlineStr">
        <is>
          <t>secondary</t>
        </is>
      </c>
      <c r="E149" t="inlineStr">
        <is>
          <t>search snippet / page</t>
        </is>
      </c>
      <c r="F149" t="inlineStr"/>
      <c r="G149" t="inlineStr"/>
      <c r="H149" t="inlineStr"/>
    </row>
    <row r="150">
      <c r="A150" t="inlineStr">
        <is>
          <t>PHS-0068</t>
        </is>
      </c>
      <c r="B150" t="inlineStr">
        <is>
          <t>https://disneymouseketeer.com/disneyland-paris-may-2025-pins-preview-sheet-schedule/</t>
        </is>
      </c>
      <c r="C150" t="inlineStr">
        <is>
          <t>disneymouseketeer.com</t>
        </is>
      </c>
      <c r="D150" t="inlineStr">
        <is>
          <t>secondary</t>
        </is>
      </c>
      <c r="E150" t="inlineStr">
        <is>
          <t>search snippet / page</t>
        </is>
      </c>
      <c r="F150" t="inlineStr"/>
      <c r="G150" t="inlineStr"/>
      <c r="H150" t="inlineStr"/>
    </row>
    <row r="151">
      <c r="A151" t="inlineStr">
        <is>
          <t>PHS-0068</t>
        </is>
      </c>
      <c r="B151" t="inlineStr">
        <is>
          <t>https://www.mousesteps.com/2025/05/01/disneyland-paris-pin-releases-for-may-2025-revealed/</t>
        </is>
      </c>
      <c r="C151" t="inlineStr">
        <is>
          <t>mousesteps.com</t>
        </is>
      </c>
      <c r="D151" t="inlineStr">
        <is>
          <t>secondary</t>
        </is>
      </c>
      <c r="E151" t="inlineStr">
        <is>
          <t>search snippet / page</t>
        </is>
      </c>
      <c r="F151" t="inlineStr"/>
      <c r="G151" t="inlineStr"/>
      <c r="H151" t="inlineStr"/>
    </row>
    <row r="152">
      <c r="A152" t="inlineStr">
        <is>
          <t>PHS-0069</t>
        </is>
      </c>
      <c r="B152" t="inlineStr">
        <is>
          <t>http://pixiedustdlp.com/2025/06/12/disneyland-paris-pin-trading-june-2025/</t>
        </is>
      </c>
      <c r="C152" t="inlineStr">
        <is>
          <t>pixiedustdlp.com</t>
        </is>
      </c>
      <c r="D152" t="inlineStr">
        <is>
          <t>secondary</t>
        </is>
      </c>
      <c r="E152" t="inlineStr">
        <is>
          <t>search snippet / page</t>
        </is>
      </c>
      <c r="F152" t="inlineStr"/>
      <c r="G152" t="inlineStr"/>
      <c r="H152" t="inlineStr"/>
    </row>
    <row r="153">
      <c r="A153" t="inlineStr">
        <is>
          <t>PHS-0069</t>
        </is>
      </c>
      <c r="B153" t="inlineStr">
        <is>
          <t>https://www.mousesteps.com/2025/05/30/disneyland-paris-june-2025-pins-revealed-including-stitch-elio-and-peter-pans-flight/</t>
        </is>
      </c>
      <c r="C153" t="inlineStr">
        <is>
          <t>mousesteps.com</t>
        </is>
      </c>
      <c r="D153" t="inlineStr">
        <is>
          <t>secondary</t>
        </is>
      </c>
      <c r="E153" t="inlineStr">
        <is>
          <t>search snippet / page</t>
        </is>
      </c>
      <c r="F153" t="inlineStr"/>
      <c r="G153" t="inlineStr"/>
      <c r="H153" t="inlineStr"/>
    </row>
    <row r="154">
      <c r="A154" t="inlineStr">
        <is>
          <t>PHS-0070</t>
        </is>
      </c>
      <c r="B154" t="inlineStr">
        <is>
          <t>https://disneypinsblog.com/blogs/news/disneyland-paris-june-2025-pin-releases</t>
        </is>
      </c>
      <c r="C154" t="inlineStr">
        <is>
          <t>disneypinsblog.com</t>
        </is>
      </c>
      <c r="D154" t="inlineStr">
        <is>
          <t>secondary</t>
        </is>
      </c>
      <c r="E154" t="inlineStr">
        <is>
          <t>search snippet / page</t>
        </is>
      </c>
      <c r="F154" t="inlineStr"/>
      <c r="G154" t="inlineStr"/>
      <c r="H154" t="inlineStr"/>
    </row>
    <row r="155">
      <c r="A155" t="inlineStr">
        <is>
          <t>PHS-0070</t>
        </is>
      </c>
      <c r="B155" t="inlineStr">
        <is>
          <t>https://www.mousesteps.com/2025/05/30/disneyland-paris-june-2025-pins-revealed-including-stitch-elio-and-peter-pans-flight/</t>
        </is>
      </c>
      <c r="C155" t="inlineStr">
        <is>
          <t>mousesteps.com</t>
        </is>
      </c>
      <c r="D155" t="inlineStr">
        <is>
          <t>secondary</t>
        </is>
      </c>
      <c r="E155" t="inlineStr">
        <is>
          <t>search snippet / page</t>
        </is>
      </c>
      <c r="F155" t="inlineStr"/>
      <c r="G155" t="inlineStr"/>
      <c r="H155" t="inlineStr"/>
    </row>
    <row r="156">
      <c r="A156" t="inlineStr">
        <is>
          <t>PHS-0071</t>
        </is>
      </c>
      <c r="B156" t="inlineStr">
        <is>
          <t>https://pixiedustdlp.com/2025/06/30/disneyland-paris-pin-trading-july-2025/</t>
        </is>
      </c>
      <c r="C156" t="inlineStr">
        <is>
          <t>pixiedustdlp.com</t>
        </is>
      </c>
      <c r="D156" t="inlineStr">
        <is>
          <t>secondary</t>
        </is>
      </c>
      <c r="E156" t="inlineStr">
        <is>
          <t>search snippet / page</t>
        </is>
      </c>
      <c r="F156" t="inlineStr"/>
      <c r="G156" t="inlineStr"/>
      <c r="H156" t="inlineStr"/>
    </row>
    <row r="157">
      <c r="A157" t="inlineStr">
        <is>
          <t>PHS-0071</t>
        </is>
      </c>
      <c r="B157" t="inlineStr">
        <is>
          <t>https://www.mousesteps.com/2025/06/30/disneyland-paris-pins-for-july-2025-revealed-including-ratatouille-disney-music-festival/</t>
        </is>
      </c>
      <c r="C157" t="inlineStr">
        <is>
          <t>mousesteps.com</t>
        </is>
      </c>
      <c r="D157" t="inlineStr">
        <is>
          <t>secondary</t>
        </is>
      </c>
      <c r="E157" t="inlineStr">
        <is>
          <t>search snippet / page</t>
        </is>
      </c>
      <c r="F157" t="inlineStr"/>
      <c r="G157" t="inlineStr"/>
      <c r="H157" t="inlineStr"/>
    </row>
    <row r="158">
      <c r="A158" t="inlineStr">
        <is>
          <t>PHS-0072</t>
        </is>
      </c>
      <c r="B158" t="inlineStr">
        <is>
          <t>https://www.laughingplace.com/disney-parks/dlp-july-2025-pins/</t>
        </is>
      </c>
      <c r="C158" t="inlineStr">
        <is>
          <t>laughingplace.com</t>
        </is>
      </c>
      <c r="D158" t="inlineStr">
        <is>
          <t>secondary</t>
        </is>
      </c>
      <c r="E158" t="inlineStr">
        <is>
          <t>search snippet / page</t>
        </is>
      </c>
      <c r="F158" t="inlineStr"/>
      <c r="G158" t="inlineStr"/>
      <c r="H158" t="inlineStr"/>
    </row>
    <row r="159">
      <c r="A159" t="inlineStr">
        <is>
          <t>PHS-0072</t>
        </is>
      </c>
      <c r="B159" t="inlineStr">
        <is>
          <t>https://www.mousesteps.com/2025/06/30/disneyland-paris-pins-for-july-2025-revealed-including-ratatouille-disney-music-festival/</t>
        </is>
      </c>
      <c r="C159" t="inlineStr">
        <is>
          <t>mousesteps.com</t>
        </is>
      </c>
      <c r="D159" t="inlineStr">
        <is>
          <t>secondary</t>
        </is>
      </c>
      <c r="E159" t="inlineStr">
        <is>
          <t>search snippet / page</t>
        </is>
      </c>
      <c r="F159" t="inlineStr"/>
      <c r="G159" t="inlineStr"/>
      <c r="H159" t="inlineStr"/>
    </row>
    <row r="160">
      <c r="A160" t="inlineStr">
        <is>
          <t>PHS-0073</t>
        </is>
      </c>
      <c r="B160" t="inlineStr">
        <is>
          <t>https://pixiedustdlp.com/2025/06/30/disneyland-paris-pin-trading-july-2025/</t>
        </is>
      </c>
      <c r="C160" t="inlineStr">
        <is>
          <t>pixiedustdlp.com</t>
        </is>
      </c>
      <c r="D160" t="inlineStr">
        <is>
          <t>secondary</t>
        </is>
      </c>
      <c r="E160" t="inlineStr">
        <is>
          <t>search snippet / page</t>
        </is>
      </c>
      <c r="F160" t="inlineStr"/>
      <c r="G160" t="inlineStr"/>
      <c r="H160" t="inlineStr"/>
    </row>
    <row r="161">
      <c r="A161" t="inlineStr">
        <is>
          <t>PHS-0073</t>
        </is>
      </c>
      <c r="B161" t="inlineStr">
        <is>
          <t>https://www.mousesteps.com/2025/06/30/disneyland-paris-pins-for-july-2025-revealed-including-ratatouille-disney-music-festival/</t>
        </is>
      </c>
      <c r="C161" t="inlineStr">
        <is>
          <t>mousesteps.com</t>
        </is>
      </c>
      <c r="D161" t="inlineStr">
        <is>
          <t>secondary</t>
        </is>
      </c>
      <c r="E161" t="inlineStr">
        <is>
          <t>search snippet / page</t>
        </is>
      </c>
      <c r="F161" t="inlineStr"/>
      <c r="G161" t="inlineStr"/>
      <c r="H161" t="inlineStr"/>
    </row>
    <row r="162">
      <c r="A162" t="inlineStr">
        <is>
          <t>PHS-0074</t>
        </is>
      </c>
      <c r="B162" t="inlineStr">
        <is>
          <t>https://pixiedustdlp.com/2025/06/30/disneyland-paris-pin-trading-july-2025/</t>
        </is>
      </c>
      <c r="C162" t="inlineStr">
        <is>
          <t>pixiedustdlp.com</t>
        </is>
      </c>
      <c r="D162" t="inlineStr">
        <is>
          <t>secondary</t>
        </is>
      </c>
      <c r="E162" t="inlineStr">
        <is>
          <t>search snippet / page</t>
        </is>
      </c>
      <c r="F162" t="inlineStr"/>
      <c r="G162" t="inlineStr"/>
      <c r="H162" t="inlineStr"/>
    </row>
    <row r="163">
      <c r="A163" t="inlineStr">
        <is>
          <t>PHS-0074</t>
        </is>
      </c>
      <c r="B163" t="inlineStr">
        <is>
          <t>https://www.laughingplace.com/disney-parks/dlp-july-2025-pins/</t>
        </is>
      </c>
      <c r="C163" t="inlineStr">
        <is>
          <t>laughingplace.com</t>
        </is>
      </c>
      <c r="D163" t="inlineStr">
        <is>
          <t>secondary</t>
        </is>
      </c>
      <c r="E163" t="inlineStr">
        <is>
          <t>search snippet / page</t>
        </is>
      </c>
      <c r="F163" t="inlineStr"/>
      <c r="G163" t="inlineStr"/>
      <c r="H163" t="inlineStr"/>
    </row>
    <row r="164">
      <c r="A164" t="inlineStr">
        <is>
          <t>PHS-0074</t>
        </is>
      </c>
      <c r="B164" t="inlineStr">
        <is>
          <t>https://www.mousesteps.com/2025/06/30/disneyland-paris-pins-for-july-2025-revealed-including-ratatouille-disney-music-festival/</t>
        </is>
      </c>
      <c r="C164" t="inlineStr">
        <is>
          <t>mousesteps.com</t>
        </is>
      </c>
      <c r="D164" t="inlineStr">
        <is>
          <t>secondary</t>
        </is>
      </c>
      <c r="E164" t="inlineStr">
        <is>
          <t>search snippet / page</t>
        </is>
      </c>
      <c r="F164" t="inlineStr"/>
      <c r="G164" t="inlineStr"/>
      <c r="H164" t="inlineStr"/>
    </row>
    <row r="165">
      <c r="A165" t="inlineStr">
        <is>
          <t>PHS-0075</t>
        </is>
      </c>
      <c r="B165" t="inlineStr">
        <is>
          <t>https://www.laughingplace.com/disney-parks/dlp-july-2025-pins/</t>
        </is>
      </c>
      <c r="C165" t="inlineStr">
        <is>
          <t>laughingplace.com</t>
        </is>
      </c>
      <c r="D165" t="inlineStr">
        <is>
          <t>secondary</t>
        </is>
      </c>
      <c r="E165" t="inlineStr">
        <is>
          <t>search snippet / page</t>
        </is>
      </c>
      <c r="F165" t="inlineStr"/>
      <c r="G165" t="inlineStr"/>
      <c r="H165" t="inlineStr"/>
    </row>
    <row r="166">
      <c r="A166" t="inlineStr">
        <is>
          <t>PHS-0075</t>
        </is>
      </c>
      <c r="B166" t="inlineStr">
        <is>
          <t>https://www.mousesteps.com/2025/06/30/disneyland-paris-pins-for-july-2025-revealed-including-ratatouille-disney-music-festival/</t>
        </is>
      </c>
      <c r="C166" t="inlineStr">
        <is>
          <t>mousesteps.com</t>
        </is>
      </c>
      <c r="D166" t="inlineStr">
        <is>
          <t>secondary</t>
        </is>
      </c>
      <c r="E166" t="inlineStr">
        <is>
          <t>search snippet / page</t>
        </is>
      </c>
      <c r="F166" t="inlineStr"/>
      <c r="G166" t="inlineStr"/>
      <c r="H166" t="inlineStr"/>
    </row>
    <row r="167">
      <c r="A167" t="inlineStr">
        <is>
          <t>PHS-0076</t>
        </is>
      </c>
      <c r="B167" t="inlineStr">
        <is>
          <t>https://pixiedustdlp.com/2025/06/30/disneyland-paris-pin-trading-july-2025/</t>
        </is>
      </c>
      <c r="C167" t="inlineStr">
        <is>
          <t>pixiedustdlp.com</t>
        </is>
      </c>
      <c r="D167" t="inlineStr">
        <is>
          <t>secondary</t>
        </is>
      </c>
      <c r="E167" t="inlineStr">
        <is>
          <t>search snippet / page</t>
        </is>
      </c>
      <c r="F167" t="inlineStr"/>
      <c r="G167" t="inlineStr"/>
      <c r="H167" t="inlineStr"/>
    </row>
    <row r="168">
      <c r="A168" t="inlineStr">
        <is>
          <t>PHS-0076</t>
        </is>
      </c>
      <c r="B168" t="inlineStr">
        <is>
          <t>https://www.mousesteps.com/2025/06/30/disneyland-paris-pins-for-july-2025-revealed-including-ratatouille-disney-music-festival/</t>
        </is>
      </c>
      <c r="C168" t="inlineStr">
        <is>
          <t>mousesteps.com</t>
        </is>
      </c>
      <c r="D168" t="inlineStr">
        <is>
          <t>secondary</t>
        </is>
      </c>
      <c r="E168" t="inlineStr">
        <is>
          <t>search snippet / page</t>
        </is>
      </c>
      <c r="F168" t="inlineStr"/>
      <c r="G168" t="inlineStr"/>
      <c r="H168" t="inlineStr"/>
    </row>
    <row r="169">
      <c r="A169" t="inlineStr">
        <is>
          <t>PHS-0077</t>
        </is>
      </c>
      <c r="B169" t="inlineStr">
        <is>
          <t>https://pixiedustdlp.com/2025/06/30/disneyland-paris-pin-trading-july-2025/</t>
        </is>
      </c>
      <c r="C169" t="inlineStr">
        <is>
          <t>pixiedustdlp.com</t>
        </is>
      </c>
      <c r="D169" t="inlineStr">
        <is>
          <t>secondary</t>
        </is>
      </c>
      <c r="E169" t="inlineStr">
        <is>
          <t>search snippet / page</t>
        </is>
      </c>
      <c r="F169" t="inlineStr"/>
      <c r="G169" t="inlineStr"/>
      <c r="H169" t="inlineStr"/>
    </row>
    <row r="170">
      <c r="A170" t="inlineStr">
        <is>
          <t>PHS-0077</t>
        </is>
      </c>
      <c r="B170" t="inlineStr">
        <is>
          <t>https://www.mousesteps.com/2025/06/30/disneyland-paris-pins-for-july-2025-revealed-including-ratatouille-disney-music-festival/</t>
        </is>
      </c>
      <c r="C170" t="inlineStr">
        <is>
          <t>mousesteps.com</t>
        </is>
      </c>
      <c r="D170" t="inlineStr">
        <is>
          <t>secondary</t>
        </is>
      </c>
      <c r="E170" t="inlineStr">
        <is>
          <t>search snippet / page</t>
        </is>
      </c>
      <c r="F170" t="inlineStr"/>
      <c r="G170" t="inlineStr"/>
      <c r="H170" t="inlineStr"/>
    </row>
    <row r="171">
      <c r="A171" t="inlineStr">
        <is>
          <t>PHS-0078</t>
        </is>
      </c>
      <c r="B171" t="inlineStr">
        <is>
          <t>https://disneymouseketeer.com/disneyland-paris-august-2025-pins-preview-sheet-schedule/</t>
        </is>
      </c>
      <c r="C171" t="inlineStr">
        <is>
          <t>disneymouseketeer.com</t>
        </is>
      </c>
      <c r="D171" t="inlineStr">
        <is>
          <t>secondary</t>
        </is>
      </c>
      <c r="E171" t="inlineStr">
        <is>
          <t>search snippet / page</t>
        </is>
      </c>
      <c r="F171" t="inlineStr"/>
      <c r="G171" t="inlineStr"/>
      <c r="H171" t="inlineStr"/>
    </row>
    <row r="172">
      <c r="A172" t="inlineStr">
        <is>
          <t>PHS-0078</t>
        </is>
      </c>
      <c r="B172" t="inlineStr">
        <is>
          <t>https://www.mousesteps.com/2025/07/29/disneyland-paris-pins-for-august-2025-revealed-including-picsou-magazine-theme/</t>
        </is>
      </c>
      <c r="C172" t="inlineStr">
        <is>
          <t>mousesteps.com</t>
        </is>
      </c>
      <c r="D172" t="inlineStr">
        <is>
          <t>secondary</t>
        </is>
      </c>
      <c r="E172" t="inlineStr">
        <is>
          <t>search snippet / page</t>
        </is>
      </c>
      <c r="F172" t="inlineStr"/>
      <c r="G172" t="inlineStr"/>
      <c r="H172" t="inlineStr"/>
    </row>
    <row r="173">
      <c r="A173" t="inlineStr">
        <is>
          <t>PHS-0079</t>
        </is>
      </c>
      <c r="B173" t="inlineStr">
        <is>
          <t>https://pixiedustdlp.com/2025/07/29/disneyland-paris-pins-august-2025/</t>
        </is>
      </c>
      <c r="C173" t="inlineStr">
        <is>
          <t>pixiedustdlp.com</t>
        </is>
      </c>
      <c r="D173" t="inlineStr">
        <is>
          <t>secondary</t>
        </is>
      </c>
      <c r="E173" t="inlineStr">
        <is>
          <t>search snippet / page</t>
        </is>
      </c>
      <c r="F173" t="inlineStr"/>
      <c r="G173" t="inlineStr"/>
      <c r="H173" t="inlineStr"/>
    </row>
    <row r="174">
      <c r="A174" t="inlineStr">
        <is>
          <t>PHS-0079</t>
        </is>
      </c>
      <c r="B174" t="inlineStr">
        <is>
          <t>https://www.mousesteps.com/2025/07/29/disneyland-paris-pins-for-august-2025-revealed-including-picsou-magazine-theme/</t>
        </is>
      </c>
      <c r="C174" t="inlineStr">
        <is>
          <t>mousesteps.com</t>
        </is>
      </c>
      <c r="D174" t="inlineStr">
        <is>
          <t>secondary</t>
        </is>
      </c>
      <c r="E174" t="inlineStr">
        <is>
          <t>search snippet / page</t>
        </is>
      </c>
      <c r="F174" t="inlineStr"/>
      <c r="G174" t="inlineStr"/>
      <c r="H174" t="inlineStr"/>
    </row>
    <row r="175">
      <c r="A175" t="inlineStr">
        <is>
          <t>PHS-0080</t>
        </is>
      </c>
      <c r="B175" t="inlineStr">
        <is>
          <t>https://disneymouseketeer.com/disneyland-paris-august-2025-pins-preview-sheet-schedule/</t>
        </is>
      </c>
      <c r="C175" t="inlineStr">
        <is>
          <t>disneymouseketeer.com</t>
        </is>
      </c>
      <c r="D175" t="inlineStr">
        <is>
          <t>secondary</t>
        </is>
      </c>
      <c r="E175" t="inlineStr">
        <is>
          <t>search snippet / page</t>
        </is>
      </c>
      <c r="F175" t="inlineStr"/>
      <c r="G175" t="inlineStr"/>
      <c r="H175" t="inlineStr"/>
    </row>
    <row r="176">
      <c r="A176" t="inlineStr">
        <is>
          <t>PHS-0080</t>
        </is>
      </c>
      <c r="B176" t="inlineStr">
        <is>
          <t>https://www.mousesteps.com/2025/07/29/disneyland-paris-pins-for-august-2025-revealed-including-picsou-magazine-theme/</t>
        </is>
      </c>
      <c r="C176" t="inlineStr">
        <is>
          <t>mousesteps.com</t>
        </is>
      </c>
      <c r="D176" t="inlineStr">
        <is>
          <t>secondary</t>
        </is>
      </c>
      <c r="E176" t="inlineStr">
        <is>
          <t>search snippet / page</t>
        </is>
      </c>
      <c r="F176" t="inlineStr"/>
      <c r="G176" t="inlineStr"/>
      <c r="H176" t="inlineStr"/>
    </row>
    <row r="177">
      <c r="A177" t="inlineStr">
        <is>
          <t>PHS-0081</t>
        </is>
      </c>
      <c r="B177" t="inlineStr">
        <is>
          <t>https://www.mousesteps.com/2025/07/29/disneyland-paris-pins-for-august-2025-revealed-including-picsou-magazine-theme/</t>
        </is>
      </c>
      <c r="C177" t="inlineStr">
        <is>
          <t>mousesteps.com</t>
        </is>
      </c>
      <c r="D177" t="inlineStr">
        <is>
          <t>secondary</t>
        </is>
      </c>
      <c r="E177" t="inlineStr">
        <is>
          <t>search snippet / page</t>
        </is>
      </c>
      <c r="F177" t="inlineStr"/>
      <c r="G177" t="inlineStr"/>
      <c r="H177" t="inlineStr"/>
    </row>
    <row r="178">
      <c r="A178" t="inlineStr">
        <is>
          <t>PHS-0082</t>
        </is>
      </c>
      <c r="B178" t="inlineStr">
        <is>
          <t>https://www.mousesteps.com/2025/07/29/disneyland-paris-pins-for-august-2025-revealed-including-picsou-magazine-theme/</t>
        </is>
      </c>
      <c r="C178" t="inlineStr">
        <is>
          <t>mousesteps.com</t>
        </is>
      </c>
      <c r="D178" t="inlineStr">
        <is>
          <t>secondary</t>
        </is>
      </c>
      <c r="E178" t="inlineStr">
        <is>
          <t>search snippet / page</t>
        </is>
      </c>
      <c r="F178" t="inlineStr"/>
      <c r="G178" t="inlineStr"/>
      <c r="H178" t="inlineStr"/>
    </row>
    <row r="179">
      <c r="A179" t="inlineStr">
        <is>
          <t>PHS-0083</t>
        </is>
      </c>
      <c r="B179" t="inlineStr">
        <is>
          <t>https://mypincentral.com/blog_post/pin-releases-disneyland-paris-disneyland-paris-flyer-for-september-2025</t>
        </is>
      </c>
      <c r="C179" t="inlineStr">
        <is>
          <t>mypincentral.com</t>
        </is>
      </c>
      <c r="D179" t="inlineStr">
        <is>
          <t>secondary</t>
        </is>
      </c>
      <c r="E179" t="inlineStr">
        <is>
          <t>search snippet / page</t>
        </is>
      </c>
      <c r="F179" t="inlineStr"/>
      <c r="G179" t="inlineStr"/>
      <c r="H179" t="inlineStr"/>
    </row>
    <row r="180">
      <c r="A180" t="inlineStr">
        <is>
          <t>PHS-0083</t>
        </is>
      </c>
      <c r="B180" t="inlineStr">
        <is>
          <t>https://pixiedustdlp.com/2025/08/29/disneyland-paris-pin-trading-sept-2025/</t>
        </is>
      </c>
      <c r="C180" t="inlineStr">
        <is>
          <t>pixiedustdlp.com</t>
        </is>
      </c>
      <c r="D180" t="inlineStr">
        <is>
          <t>secondary</t>
        </is>
      </c>
      <c r="E180" t="inlineStr">
        <is>
          <t>search snippet / page</t>
        </is>
      </c>
      <c r="F180" t="inlineStr"/>
      <c r="G180" t="inlineStr"/>
      <c r="H180" t="inlineStr"/>
    </row>
    <row r="181">
      <c r="A181" t="inlineStr">
        <is>
          <t>PHS-0084</t>
        </is>
      </c>
      <c r="B181" t="inlineStr">
        <is>
          <t>https://mypincentral.com/blog_post/pin-releases-disneyland-paris-disneyland-paris-flyer-for-september-2025</t>
        </is>
      </c>
      <c r="C181" t="inlineStr">
        <is>
          <t>mypincentral.com</t>
        </is>
      </c>
      <c r="D181" t="inlineStr">
        <is>
          <t>secondary</t>
        </is>
      </c>
      <c r="E181" t="inlineStr">
        <is>
          <t>search snippet / page</t>
        </is>
      </c>
      <c r="F181" t="inlineStr"/>
      <c r="G181" t="inlineStr"/>
      <c r="H181" t="inlineStr"/>
    </row>
    <row r="182">
      <c r="A182" t="inlineStr">
        <is>
          <t>PHS-0084</t>
        </is>
      </c>
      <c r="B182" t="inlineStr">
        <is>
          <t>https://www.mousesteps.com/2025/08/29/disneyland-paris-pins-for-september-2025-revealed/</t>
        </is>
      </c>
      <c r="C182" t="inlineStr">
        <is>
          <t>mousesteps.com</t>
        </is>
      </c>
      <c r="D182" t="inlineStr">
        <is>
          <t>secondary</t>
        </is>
      </c>
      <c r="E182" t="inlineStr">
        <is>
          <t>search snippet / page</t>
        </is>
      </c>
      <c r="F182" t="inlineStr"/>
      <c r="G182" t="inlineStr"/>
      <c r="H182" t="inlineStr"/>
    </row>
    <row r="183">
      <c r="A183" t="inlineStr">
        <is>
          <t>PHS-0085</t>
        </is>
      </c>
      <c r="B183" t="inlineStr">
        <is>
          <t>https://disneymouseketeer.com/disneyland-paris-september-2025-pins-preview-sheet-schedule/</t>
        </is>
      </c>
      <c r="C183" t="inlineStr">
        <is>
          <t>disneymouseketeer.com</t>
        </is>
      </c>
      <c r="D183" t="inlineStr">
        <is>
          <t>secondary</t>
        </is>
      </c>
      <c r="E183" t="inlineStr">
        <is>
          <t>search snippet / page</t>
        </is>
      </c>
      <c r="F183" t="inlineStr"/>
      <c r="G183" t="inlineStr"/>
      <c r="H183" t="inlineStr"/>
    </row>
    <row r="184">
      <c r="A184" t="inlineStr">
        <is>
          <t>PHS-0085</t>
        </is>
      </c>
      <c r="B184" t="inlineStr">
        <is>
          <t>https://mypincentral.com/blog_post/pin-releases-disneyland-paris-disneyland-paris-flyer-for-september-2025</t>
        </is>
      </c>
      <c r="C184" t="inlineStr">
        <is>
          <t>mypincentral.com</t>
        </is>
      </c>
      <c r="D184" t="inlineStr">
        <is>
          <t>secondary</t>
        </is>
      </c>
      <c r="E184" t="inlineStr">
        <is>
          <t>search snippet / page</t>
        </is>
      </c>
      <c r="F184" t="inlineStr"/>
      <c r="G184" t="inlineStr"/>
      <c r="H184" t="inlineStr"/>
    </row>
    <row r="185">
      <c r="A185" t="inlineStr">
        <is>
          <t>PHS-0085</t>
        </is>
      </c>
      <c r="B185" t="inlineStr">
        <is>
          <t>https://www.mousesteps.com/2025/08/29/disneyland-paris-pins-for-september-2025-revealed/</t>
        </is>
      </c>
      <c r="C185" t="inlineStr">
        <is>
          <t>mousesteps.com</t>
        </is>
      </c>
      <c r="D185" t="inlineStr">
        <is>
          <t>secondary</t>
        </is>
      </c>
      <c r="E185" t="inlineStr">
        <is>
          <t>search snippet / page</t>
        </is>
      </c>
      <c r="F185" t="inlineStr"/>
      <c r="G185" t="inlineStr"/>
      <c r="H185" t="inlineStr"/>
    </row>
    <row r="186">
      <c r="A186" t="inlineStr">
        <is>
          <t>PHS-0086</t>
        </is>
      </c>
      <c r="B186" t="inlineStr">
        <is>
          <t>https://disneymouseketeer.com/disneyland-paris-september-2025-pins-preview-sheet-schedule/</t>
        </is>
      </c>
      <c r="C186" t="inlineStr">
        <is>
          <t>disneymouseketeer.com</t>
        </is>
      </c>
      <c r="D186" t="inlineStr">
        <is>
          <t>secondary</t>
        </is>
      </c>
      <c r="E186" t="inlineStr">
        <is>
          <t>search snippet / page</t>
        </is>
      </c>
      <c r="F186" t="inlineStr"/>
      <c r="G186" t="inlineStr"/>
      <c r="H186" t="inlineStr"/>
    </row>
    <row r="187">
      <c r="A187" t="inlineStr">
        <is>
          <t>PHS-0086</t>
        </is>
      </c>
      <c r="B187" t="inlineStr">
        <is>
          <t>https://mypincentral.com/blog_post/pin-releases-disneyland-paris-disneyland-paris-flyer-for-september-2025</t>
        </is>
      </c>
      <c r="C187" t="inlineStr">
        <is>
          <t>mypincentral.com</t>
        </is>
      </c>
      <c r="D187" t="inlineStr">
        <is>
          <t>secondary</t>
        </is>
      </c>
      <c r="E187" t="inlineStr">
        <is>
          <t>search snippet / page</t>
        </is>
      </c>
      <c r="F187" t="inlineStr"/>
      <c r="G187" t="inlineStr"/>
      <c r="H187" t="inlineStr"/>
    </row>
    <row r="188">
      <c r="A188" t="inlineStr">
        <is>
          <t>PHS-0086</t>
        </is>
      </c>
      <c r="B188" t="inlineStr">
        <is>
          <t>https://pixiedustdlp.com/2025/08/29/disneyland-paris-pin-trading-sept-2025/</t>
        </is>
      </c>
      <c r="C188" t="inlineStr">
        <is>
          <t>pixiedustdlp.com</t>
        </is>
      </c>
      <c r="D188" t="inlineStr">
        <is>
          <t>secondary</t>
        </is>
      </c>
      <c r="E188" t="inlineStr">
        <is>
          <t>search snippet / page</t>
        </is>
      </c>
      <c r="F188" t="inlineStr"/>
      <c r="G188" t="inlineStr"/>
      <c r="H188" t="inlineStr"/>
    </row>
    <row r="189">
      <c r="A189" t="inlineStr">
        <is>
          <t>PHS-0086</t>
        </is>
      </c>
      <c r="B189" t="inlineStr">
        <is>
          <t>https://www.mousesteps.com/2025/08/29/disneyland-paris-pins-for-september-2025-revealed/</t>
        </is>
      </c>
      <c r="C189" t="inlineStr">
        <is>
          <t>mousesteps.com</t>
        </is>
      </c>
      <c r="D189" t="inlineStr">
        <is>
          <t>secondary</t>
        </is>
      </c>
      <c r="E189" t="inlineStr">
        <is>
          <t>search snippet / page</t>
        </is>
      </c>
      <c r="F189" t="inlineStr"/>
      <c r="G189" t="inlineStr"/>
      <c r="H189" t="inlineStr"/>
    </row>
    <row r="190">
      <c r="A190" t="inlineStr">
        <is>
          <t>PHS-0087</t>
        </is>
      </c>
      <c r="B190" t="inlineStr">
        <is>
          <t>https://disneymouseketeer.com/disneyland-paris-september-2025-pins-preview-sheet-schedule/</t>
        </is>
      </c>
      <c r="C190" t="inlineStr">
        <is>
          <t>disneymouseketeer.com</t>
        </is>
      </c>
      <c r="D190" t="inlineStr">
        <is>
          <t>secondary</t>
        </is>
      </c>
      <c r="E190" t="inlineStr">
        <is>
          <t>search snippet / page</t>
        </is>
      </c>
      <c r="F190" t="inlineStr"/>
      <c r="G190" t="inlineStr"/>
      <c r="H190" t="inlineStr"/>
    </row>
    <row r="191">
      <c r="A191" t="inlineStr">
        <is>
          <t>PHS-0087</t>
        </is>
      </c>
      <c r="B191" t="inlineStr">
        <is>
          <t>https://mypincentral.com/blog_post/pin-releases-disneyland-paris-disneyland-paris-flyer-for-september-2025</t>
        </is>
      </c>
      <c r="C191" t="inlineStr">
        <is>
          <t>mypincentral.com</t>
        </is>
      </c>
      <c r="D191" t="inlineStr">
        <is>
          <t>secondary</t>
        </is>
      </c>
      <c r="E191" t="inlineStr">
        <is>
          <t>search snippet / page</t>
        </is>
      </c>
      <c r="F191" t="inlineStr"/>
      <c r="G191" t="inlineStr"/>
      <c r="H191" t="inlineStr"/>
    </row>
    <row r="192">
      <c r="A192" t="inlineStr">
        <is>
          <t>PHS-0087</t>
        </is>
      </c>
      <c r="B192" t="inlineStr">
        <is>
          <t>https://pixiedustdlp.com/2025/08/29/disneyland-paris-pin-trading-sept-2025/</t>
        </is>
      </c>
      <c r="C192" t="inlineStr">
        <is>
          <t>pixiedustdlp.com</t>
        </is>
      </c>
      <c r="D192" t="inlineStr">
        <is>
          <t>secondary</t>
        </is>
      </c>
      <c r="E192" t="inlineStr">
        <is>
          <t>search snippet / page</t>
        </is>
      </c>
      <c r="F192" t="inlineStr"/>
      <c r="G192" t="inlineStr"/>
      <c r="H192" t="inlineStr"/>
    </row>
    <row r="193">
      <c r="A193" t="inlineStr">
        <is>
          <t>PHS-0088</t>
        </is>
      </c>
      <c r="B193" t="inlineStr">
        <is>
          <t>https://pixiedustdlp.com/2025/08/29/disneyland-paris-pin-trading-sept-2025/</t>
        </is>
      </c>
      <c r="C193" t="inlineStr">
        <is>
          <t>pixiedustdlp.com</t>
        </is>
      </c>
      <c r="D193" t="inlineStr">
        <is>
          <t>secondary</t>
        </is>
      </c>
      <c r="E193" t="inlineStr">
        <is>
          <t>search snippet / page</t>
        </is>
      </c>
      <c r="F193" t="inlineStr"/>
      <c r="G193" t="inlineStr"/>
      <c r="H193" t="inlineStr"/>
    </row>
    <row r="194">
      <c r="A194" t="inlineStr">
        <is>
          <t>PHS-0088</t>
        </is>
      </c>
      <c r="B194" t="inlineStr">
        <is>
          <t>https://www.mousesteps.com/2025/08/29/disneyland-paris-pins-for-september-2025-revealed/</t>
        </is>
      </c>
      <c r="C194" t="inlineStr">
        <is>
          <t>mousesteps.com</t>
        </is>
      </c>
      <c r="D194" t="inlineStr">
        <is>
          <t>secondary</t>
        </is>
      </c>
      <c r="E194" t="inlineStr">
        <is>
          <t>search snippet / page</t>
        </is>
      </c>
      <c r="F194" t="inlineStr"/>
      <c r="G194" t="inlineStr"/>
      <c r="H194" t="inlineStr"/>
    </row>
    <row r="195">
      <c r="A195" t="inlineStr">
        <is>
          <t>PHS-0089</t>
        </is>
      </c>
      <c r="B195" t="inlineStr">
        <is>
          <t>https://mypincentral.com/blog_post/pin-releases-disneyland-paris-disneyland-paris-flyer-for-october-2025</t>
        </is>
      </c>
      <c r="C195" t="inlineStr">
        <is>
          <t>mypincentral.com</t>
        </is>
      </c>
      <c r="D195" t="inlineStr">
        <is>
          <t>secondary</t>
        </is>
      </c>
      <c r="E195" t="inlineStr">
        <is>
          <t>search snippet / page</t>
        </is>
      </c>
      <c r="F195" t="inlineStr"/>
      <c r="G195" t="inlineStr"/>
      <c r="H195" t="inlineStr"/>
    </row>
    <row r="196">
      <c r="A196" t="inlineStr">
        <is>
          <t>PHS-0089</t>
        </is>
      </c>
      <c r="B196" t="inlineStr">
        <is>
          <t>https://www.mousesteps.com/2025/09/29/disneyland-paris-october-2025-pins-revealed/</t>
        </is>
      </c>
      <c r="C196" t="inlineStr">
        <is>
          <t>mousesteps.com</t>
        </is>
      </c>
      <c r="D196" t="inlineStr">
        <is>
          <t>secondary</t>
        </is>
      </c>
      <c r="E196" t="inlineStr">
        <is>
          <t>search snippet / page</t>
        </is>
      </c>
      <c r="F196" t="inlineStr"/>
      <c r="G196" t="inlineStr"/>
      <c r="H196" t="inlineStr"/>
    </row>
    <row r="197">
      <c r="A197" t="inlineStr">
        <is>
          <t>PHS-0090</t>
        </is>
      </c>
      <c r="B197" t="inlineStr">
        <is>
          <t>https://mypincentral.com/blog_post/pin-releases-disneyland-paris-disneyland-paris-flyer-for-october-2025</t>
        </is>
      </c>
      <c r="C197" t="inlineStr">
        <is>
          <t>mypincentral.com</t>
        </is>
      </c>
      <c r="D197" t="inlineStr">
        <is>
          <t>secondary</t>
        </is>
      </c>
      <c r="E197" t="inlineStr">
        <is>
          <t>search snippet / page</t>
        </is>
      </c>
      <c r="F197" t="inlineStr"/>
      <c r="G197" t="inlineStr"/>
      <c r="H197" t="inlineStr"/>
    </row>
    <row r="198">
      <c r="A198" t="inlineStr">
        <is>
          <t>PHS-0090</t>
        </is>
      </c>
      <c r="B198" t="inlineStr">
        <is>
          <t>https://www.mousesteps.com/2025/09/29/disneyland-paris-october-2025-pins-revealed/</t>
        </is>
      </c>
      <c r="C198" t="inlineStr">
        <is>
          <t>mousesteps.com</t>
        </is>
      </c>
      <c r="D198" t="inlineStr">
        <is>
          <t>secondary</t>
        </is>
      </c>
      <c r="E198" t="inlineStr">
        <is>
          <t>search snippet / page</t>
        </is>
      </c>
      <c r="F198" t="inlineStr"/>
      <c r="G198" t="inlineStr"/>
      <c r="H198" t="inlineStr"/>
    </row>
    <row r="199">
      <c r="A199" t="inlineStr">
        <is>
          <t>PHS-0091</t>
        </is>
      </c>
      <c r="B199" t="inlineStr">
        <is>
          <t>https://disneypinventory.com/view_item.php?itemID=50640</t>
        </is>
      </c>
      <c r="C199" t="inlineStr">
        <is>
          <t>disneypinventory.com</t>
        </is>
      </c>
      <c r="D199" t="inlineStr">
        <is>
          <t>secondary</t>
        </is>
      </c>
      <c r="E199" t="inlineStr">
        <is>
          <t>search snippet / page</t>
        </is>
      </c>
      <c r="F199" t="inlineStr"/>
      <c r="G199" t="inlineStr"/>
      <c r="H199" t="inlineStr"/>
    </row>
    <row r="200">
      <c r="A200" t="inlineStr">
        <is>
          <t>PHS-0091</t>
        </is>
      </c>
      <c r="B200" t="inlineStr">
        <is>
          <t>https://mypincentral.com/blog_post/pin-releases-disneyland-paris-disneyland-paris-flyer-for-october-2025</t>
        </is>
      </c>
      <c r="C200" t="inlineStr">
        <is>
          <t>mypincentral.com</t>
        </is>
      </c>
      <c r="D200" t="inlineStr">
        <is>
          <t>secondary</t>
        </is>
      </c>
      <c r="E200" t="inlineStr">
        <is>
          <t>search snippet / page</t>
        </is>
      </c>
      <c r="F200" t="inlineStr"/>
      <c r="G200" t="inlineStr"/>
      <c r="H200" t="inlineStr"/>
    </row>
    <row r="201">
      <c r="A201" t="inlineStr">
        <is>
          <t>PHS-0091</t>
        </is>
      </c>
      <c r="B201" t="inlineStr">
        <is>
          <t>https://www.mousesteps.com/2025/09/29/disneyland-paris-october-2025-pins-revealed/</t>
        </is>
      </c>
      <c r="C201" t="inlineStr">
        <is>
          <t>mousesteps.com</t>
        </is>
      </c>
      <c r="D201" t="inlineStr">
        <is>
          <t>secondary</t>
        </is>
      </c>
      <c r="E201" t="inlineStr">
        <is>
          <t>search snippet / page</t>
        </is>
      </c>
      <c r="F201" t="inlineStr"/>
      <c r="G201" t="inlineStr"/>
      <c r="H201" t="inlineStr"/>
    </row>
    <row r="202">
      <c r="A202" t="inlineStr">
        <is>
          <t>PHS-0091</t>
        </is>
      </c>
      <c r="B202" t="inlineStr">
        <is>
          <t>https://x.com/DLPReport/status/1972598630625296685</t>
        </is>
      </c>
      <c r="C202" t="inlineStr">
        <is>
          <t>x.com</t>
        </is>
      </c>
      <c r="D202" t="inlineStr">
        <is>
          <t>secondary</t>
        </is>
      </c>
      <c r="E202" t="inlineStr">
        <is>
          <t>search snippet / page</t>
        </is>
      </c>
      <c r="F202" t="inlineStr"/>
      <c r="G202" t="inlineStr"/>
      <c r="H202" t="inlineStr"/>
    </row>
    <row r="203">
      <c r="A203" t="inlineStr">
        <is>
          <t>PHS-0092</t>
        </is>
      </c>
      <c r="B203" t="inlineStr">
        <is>
          <t>https://mypincentral.com/blog_post/pin-releases-disneyland-paris-disneyland-paris-flyer-for-october-2025</t>
        </is>
      </c>
      <c r="C203" t="inlineStr">
        <is>
          <t>mypincentral.com</t>
        </is>
      </c>
      <c r="D203" t="inlineStr">
        <is>
          <t>secondary</t>
        </is>
      </c>
      <c r="E203" t="inlineStr">
        <is>
          <t>search snippet / page</t>
        </is>
      </c>
      <c r="F203" t="inlineStr"/>
      <c r="G203" t="inlineStr"/>
      <c r="H203" t="inlineStr"/>
    </row>
    <row r="204">
      <c r="A204" t="inlineStr">
        <is>
          <t>PHS-0092</t>
        </is>
      </c>
      <c r="B204" t="inlineStr">
        <is>
          <t>https://www.mousesteps.com/2025/09/29/disneyland-paris-october-2025-pins-revealed/</t>
        </is>
      </c>
      <c r="C204" t="inlineStr">
        <is>
          <t>mousesteps.com</t>
        </is>
      </c>
      <c r="D204" t="inlineStr">
        <is>
          <t>secondary</t>
        </is>
      </c>
      <c r="E204" t="inlineStr">
        <is>
          <t>search snippet / page</t>
        </is>
      </c>
      <c r="F204" t="inlineStr"/>
      <c r="G204" t="inlineStr"/>
      <c r="H204" t="inlineStr"/>
    </row>
    <row r="205">
      <c r="A205" t="inlineStr">
        <is>
          <t>PHS-0093</t>
        </is>
      </c>
      <c r="B205" t="inlineStr">
        <is>
          <t>https://mypincentral.com/blog_post/pin-releases-disneyland-paris-disneyland-paris-flyer-for-october-2025</t>
        </is>
      </c>
      <c r="C205" t="inlineStr">
        <is>
          <t>mypincentral.com</t>
        </is>
      </c>
      <c r="D205" t="inlineStr">
        <is>
          <t>secondary</t>
        </is>
      </c>
      <c r="E205" t="inlineStr">
        <is>
          <t>search snippet / page</t>
        </is>
      </c>
      <c r="F205" t="inlineStr"/>
      <c r="G205" t="inlineStr"/>
      <c r="H205" t="inlineStr"/>
    </row>
    <row r="206">
      <c r="A206" t="inlineStr">
        <is>
          <t>PHS-0093</t>
        </is>
      </c>
      <c r="B206" t="inlineStr">
        <is>
          <t>https://www.mousesteps.com/2025/09/29/disneyland-paris-october-2025-pins-revealed/</t>
        </is>
      </c>
      <c r="C206" t="inlineStr">
        <is>
          <t>mousesteps.com</t>
        </is>
      </c>
      <c r="D206" t="inlineStr">
        <is>
          <t>secondary</t>
        </is>
      </c>
      <c r="E206" t="inlineStr">
        <is>
          <t>search snippet / page</t>
        </is>
      </c>
      <c r="F206" t="inlineStr"/>
      <c r="G206" t="inlineStr"/>
      <c r="H206" t="inlineStr"/>
    </row>
    <row r="207">
      <c r="A207" t="inlineStr">
        <is>
          <t>PHS-0094</t>
        </is>
      </c>
      <c r="B207" t="inlineStr">
        <is>
          <t>https://disneymouseketeer.com/disneyland-paris-october-2025-pins-preview-sheet-schedule/</t>
        </is>
      </c>
      <c r="C207" t="inlineStr">
        <is>
          <t>disneymouseketeer.com</t>
        </is>
      </c>
      <c r="D207" t="inlineStr">
        <is>
          <t>secondary</t>
        </is>
      </c>
      <c r="E207" t="inlineStr">
        <is>
          <t>search snippet / page</t>
        </is>
      </c>
      <c r="F207" t="inlineStr"/>
      <c r="G207" t="inlineStr"/>
      <c r="H207" t="inlineStr"/>
    </row>
    <row r="208">
      <c r="A208" t="inlineStr">
        <is>
          <t>PHS-0094</t>
        </is>
      </c>
      <c r="B208" t="inlineStr">
        <is>
          <t>https://disneypinventory.com/view_item.php?itemID=49180</t>
        </is>
      </c>
      <c r="C208" t="inlineStr">
        <is>
          <t>disneypinventory.com</t>
        </is>
      </c>
      <c r="D208" t="inlineStr">
        <is>
          <t>secondary</t>
        </is>
      </c>
      <c r="E208" t="inlineStr">
        <is>
          <t>search snippet / page</t>
        </is>
      </c>
      <c r="F208" t="inlineStr"/>
      <c r="G208" t="inlineStr"/>
      <c r="H208" t="inlineStr"/>
    </row>
    <row r="209">
      <c r="A209" t="inlineStr">
        <is>
          <t>PHS-0094</t>
        </is>
      </c>
      <c r="B209" t="inlineStr">
        <is>
          <t>https://disneypinventory.com/view_item.php?itemID=49181</t>
        </is>
      </c>
      <c r="C209" t="inlineStr">
        <is>
          <t>disneypinventory.com</t>
        </is>
      </c>
      <c r="D209" t="inlineStr">
        <is>
          <t>secondary</t>
        </is>
      </c>
      <c r="E209" t="inlineStr">
        <is>
          <t>search snippet / page</t>
        </is>
      </c>
      <c r="F209" t="inlineStr"/>
      <c r="G209" t="inlineStr"/>
      <c r="H209" t="inlineStr"/>
    </row>
    <row r="210">
      <c r="A210" t="inlineStr">
        <is>
          <t>PHS-0094</t>
        </is>
      </c>
      <c r="B210" t="inlineStr">
        <is>
          <t>https://www.mousesteps.com/2025/09/29/disneyland-paris-october-2025-pins-revealed/</t>
        </is>
      </c>
      <c r="C210" t="inlineStr">
        <is>
          <t>mousesteps.com</t>
        </is>
      </c>
      <c r="D210" t="inlineStr">
        <is>
          <t>secondary</t>
        </is>
      </c>
      <c r="E210" t="inlineStr">
        <is>
          <t>search snippet / page</t>
        </is>
      </c>
      <c r="F210" t="inlineStr"/>
      <c r="G210" t="inlineStr"/>
      <c r="H210" t="inlineStr"/>
    </row>
    <row r="211">
      <c r="A211" t="inlineStr">
        <is>
          <t>PHS-0095</t>
        </is>
      </c>
      <c r="B211" t="inlineStr">
        <is>
          <t>https://www.mousesteps.com/2025/10/28/disneyland-paris-november-2025-pins-include-christmas-walt-disney-studios-park/</t>
        </is>
      </c>
      <c r="C211" t="inlineStr">
        <is>
          <t>mousesteps.com</t>
        </is>
      </c>
      <c r="D211" t="inlineStr">
        <is>
          <t>secondary</t>
        </is>
      </c>
      <c r="E211" t="inlineStr">
        <is>
          <t>search snippet / page</t>
        </is>
      </c>
      <c r="F211" t="inlineStr"/>
      <c r="G211" t="inlineStr"/>
      <c r="H211" t="inlineStr"/>
    </row>
    <row r="212">
      <c r="A212" t="inlineStr">
        <is>
          <t>PHS-0096</t>
        </is>
      </c>
      <c r="B212" t="inlineStr">
        <is>
          <t>https://disneymouseketeer.com/disneyland-paris-november-2025-pins-preview-sheet-schedule/</t>
        </is>
      </c>
      <c r="C212" t="inlineStr">
        <is>
          <t>disneymouseketeer.com</t>
        </is>
      </c>
      <c r="D212" t="inlineStr">
        <is>
          <t>secondary</t>
        </is>
      </c>
      <c r="E212" t="inlineStr">
        <is>
          <t>search snippet / page</t>
        </is>
      </c>
      <c r="F212" t="inlineStr"/>
      <c r="G212" t="inlineStr"/>
      <c r="H212" t="inlineStr"/>
    </row>
    <row r="213">
      <c r="A213" t="inlineStr">
        <is>
          <t>PHS-0096</t>
        </is>
      </c>
      <c r="B213" t="inlineStr">
        <is>
          <t>https://pixiedustdlp.com/2025/10/28/disneyland-paris-pin-trading-11-2025/</t>
        </is>
      </c>
      <c r="C213" t="inlineStr">
        <is>
          <t>pixiedustdlp.com</t>
        </is>
      </c>
      <c r="D213" t="inlineStr">
        <is>
          <t>secondary</t>
        </is>
      </c>
      <c r="E213" t="inlineStr">
        <is>
          <t>search snippet / page</t>
        </is>
      </c>
      <c r="F213" t="inlineStr"/>
      <c r="G213" t="inlineStr"/>
      <c r="H213" t="inlineStr"/>
    </row>
    <row r="214">
      <c r="A214" t="inlineStr">
        <is>
          <t>PHS-0096</t>
        </is>
      </c>
      <c r="B214" t="inlineStr">
        <is>
          <t>https://www.mousesteps.com/2025/10/28/disneyland-paris-november-2025-pins-include-christmas-walt-disney-studios-park/</t>
        </is>
      </c>
      <c r="C214" t="inlineStr">
        <is>
          <t>mousesteps.com</t>
        </is>
      </c>
      <c r="D214" t="inlineStr">
        <is>
          <t>secondary</t>
        </is>
      </c>
      <c r="E214" t="inlineStr">
        <is>
          <t>search snippet / page</t>
        </is>
      </c>
      <c r="F214" t="inlineStr"/>
      <c r="G214" t="inlineStr"/>
      <c r="H214" t="inlineStr"/>
    </row>
    <row r="215">
      <c r="A215" t="inlineStr">
        <is>
          <t>PHS-0097</t>
        </is>
      </c>
      <c r="B215" t="inlineStr">
        <is>
          <t>https://disneymouseketeer.com/disneyland-paris-november-2025-pins-preview-sheet-schedule/</t>
        </is>
      </c>
      <c r="C215" t="inlineStr">
        <is>
          <t>disneymouseketeer.com</t>
        </is>
      </c>
      <c r="D215" t="inlineStr">
        <is>
          <t>secondary</t>
        </is>
      </c>
      <c r="E215" t="inlineStr">
        <is>
          <t>search snippet / page</t>
        </is>
      </c>
      <c r="F215" t="inlineStr"/>
      <c r="G215" t="inlineStr"/>
      <c r="H215" t="inlineStr"/>
    </row>
    <row r="216">
      <c r="A216" t="inlineStr">
        <is>
          <t>PHS-0097</t>
        </is>
      </c>
      <c r="B216" t="inlineStr">
        <is>
          <t>https://pixiedustdlp.com/2025/10/28/disneyland-paris-pin-trading-11-2025/</t>
        </is>
      </c>
      <c r="C216" t="inlineStr">
        <is>
          <t>pixiedustdlp.com</t>
        </is>
      </c>
      <c r="D216" t="inlineStr">
        <is>
          <t>secondary</t>
        </is>
      </c>
      <c r="E216" t="inlineStr">
        <is>
          <t>search snippet / page</t>
        </is>
      </c>
      <c r="F216" t="inlineStr"/>
      <c r="G216" t="inlineStr"/>
      <c r="H216" t="inlineStr"/>
    </row>
    <row r="217">
      <c r="A217" t="inlineStr">
        <is>
          <t>PHS-0097</t>
        </is>
      </c>
      <c r="B217" t="inlineStr">
        <is>
          <t>https://www.mousesteps.com/2025/10/28/disneyland-paris-november-2025-pins-include-christmas-walt-disney-studios-park/</t>
        </is>
      </c>
      <c r="C217" t="inlineStr">
        <is>
          <t>mousesteps.com</t>
        </is>
      </c>
      <c r="D217" t="inlineStr">
        <is>
          <t>secondary</t>
        </is>
      </c>
      <c r="E217" t="inlineStr">
        <is>
          <t>search snippet / page</t>
        </is>
      </c>
      <c r="F217" t="inlineStr"/>
      <c r="G217" t="inlineStr"/>
      <c r="H217" t="inlineStr"/>
    </row>
    <row r="218">
      <c r="A218" t="inlineStr">
        <is>
          <t>PHS-0097</t>
        </is>
      </c>
      <c r="B218" t="inlineStr">
        <is>
          <t>https://x.com/DLPReport/status/1983115157850001750</t>
        </is>
      </c>
      <c r="C218" t="inlineStr">
        <is>
          <t>x.com</t>
        </is>
      </c>
      <c r="D218" t="inlineStr">
        <is>
          <t>secondary</t>
        </is>
      </c>
      <c r="E218" t="inlineStr">
        <is>
          <t>search snippet / page</t>
        </is>
      </c>
      <c r="F218" t="inlineStr"/>
      <c r="G218" t="inlineStr"/>
      <c r="H218" t="inlineStr"/>
    </row>
    <row r="219">
      <c r="A219" t="inlineStr">
        <is>
          <t>PHS-0098</t>
        </is>
      </c>
      <c r="B219" t="inlineStr">
        <is>
          <t>https://pixiedustdlp.com/2025/10/28/disneyland-paris-pin-trading-11-2025/</t>
        </is>
      </c>
      <c r="C219" t="inlineStr">
        <is>
          <t>pixiedustdlp.com</t>
        </is>
      </c>
      <c r="D219" t="inlineStr">
        <is>
          <t>secondary</t>
        </is>
      </c>
      <c r="E219" t="inlineStr">
        <is>
          <t>search snippet / page</t>
        </is>
      </c>
      <c r="F219" t="inlineStr"/>
      <c r="G219" t="inlineStr"/>
      <c r="H219" t="inlineStr"/>
    </row>
    <row r="220">
      <c r="A220" t="inlineStr">
        <is>
          <t>PHS-0098</t>
        </is>
      </c>
      <c r="B220" t="inlineStr">
        <is>
          <t>https://www.mousesteps.com/2025/10/28/disneyland-paris-november-2025-pins-include-christmas-walt-disney-studios-park/</t>
        </is>
      </c>
      <c r="C220" t="inlineStr">
        <is>
          <t>mousesteps.com</t>
        </is>
      </c>
      <c r="D220" t="inlineStr">
        <is>
          <t>secondary</t>
        </is>
      </c>
      <c r="E220" t="inlineStr">
        <is>
          <t>search snippet / page</t>
        </is>
      </c>
      <c r="F220" t="inlineStr"/>
      <c r="G220" t="inlineStr"/>
      <c r="H220" t="inlineStr"/>
    </row>
    <row r="221">
      <c r="A221" t="inlineStr">
        <is>
          <t>PHS-0098</t>
        </is>
      </c>
      <c r="B221" t="inlineStr">
        <is>
          <t>https://x.com/DLPReport/status/1983115157850001750</t>
        </is>
      </c>
      <c r="C221" t="inlineStr">
        <is>
          <t>x.com</t>
        </is>
      </c>
      <c r="D221" t="inlineStr">
        <is>
          <t>secondary</t>
        </is>
      </c>
      <c r="E221" t="inlineStr">
        <is>
          <t>search snippet / page</t>
        </is>
      </c>
      <c r="F221" t="inlineStr"/>
      <c r="G221" t="inlineStr"/>
      <c r="H221" t="inlineStr"/>
    </row>
    <row r="222">
      <c r="A222" t="inlineStr">
        <is>
          <t>PHS-0099</t>
        </is>
      </c>
      <c r="B222" t="inlineStr">
        <is>
          <t>https://pixiedustdlp.com/2025/10/28/disneyland-paris-pin-trading-11-2025/</t>
        </is>
      </c>
      <c r="C222" t="inlineStr">
        <is>
          <t>pixiedustdlp.com</t>
        </is>
      </c>
      <c r="D222" t="inlineStr">
        <is>
          <t>secondary</t>
        </is>
      </c>
      <c r="E222" t="inlineStr">
        <is>
          <t>search snippet / page</t>
        </is>
      </c>
      <c r="F222" t="inlineStr"/>
      <c r="G222" t="inlineStr"/>
      <c r="H222" t="inlineStr"/>
    </row>
    <row r="223">
      <c r="A223" t="inlineStr">
        <is>
          <t>PHS-0099</t>
        </is>
      </c>
      <c r="B223" t="inlineStr">
        <is>
          <t>https://www.mousesteps.com/2025/10/28/disneyland-paris-november-2025-pins-include-christmas-walt-disney-studios-park/</t>
        </is>
      </c>
      <c r="C223" t="inlineStr">
        <is>
          <t>mousesteps.com</t>
        </is>
      </c>
      <c r="D223" t="inlineStr">
        <is>
          <t>secondary</t>
        </is>
      </c>
      <c r="E223" t="inlineStr">
        <is>
          <t>search snippet / page</t>
        </is>
      </c>
      <c r="F223" t="inlineStr"/>
      <c r="G223" t="inlineStr"/>
      <c r="H223" t="inlineStr"/>
    </row>
    <row r="224">
      <c r="A224" t="inlineStr">
        <is>
          <t>PHS-0100</t>
        </is>
      </c>
      <c r="B224" t="inlineStr">
        <is>
          <t>https://pixiedustdlp.com/2025/11/28/disneyland-paris-pin-trading-dec-2025/</t>
        </is>
      </c>
      <c r="C224" t="inlineStr">
        <is>
          <t>pixiedustdlp.com</t>
        </is>
      </c>
      <c r="D224" t="inlineStr">
        <is>
          <t>secondary</t>
        </is>
      </c>
      <c r="E224" t="inlineStr">
        <is>
          <t>search snippet / page</t>
        </is>
      </c>
      <c r="F224" t="inlineStr"/>
      <c r="G224" t="inlineStr"/>
      <c r="H224" t="inlineStr"/>
    </row>
    <row r="225">
      <c r="A225" t="inlineStr">
        <is>
          <t>PHS-0101</t>
        </is>
      </c>
      <c r="B225" t="inlineStr">
        <is>
          <t>https://pixiedustdlp.com/2025/11/28/disneyland-paris-pin-trading-dec-2025/</t>
        </is>
      </c>
      <c r="C225" t="inlineStr">
        <is>
          <t>pixiedustdlp.com</t>
        </is>
      </c>
      <c r="D225" t="inlineStr">
        <is>
          <t>secondary</t>
        </is>
      </c>
      <c r="E225" t="inlineStr">
        <is>
          <t>search snippet / page</t>
        </is>
      </c>
      <c r="F225" t="inlineStr"/>
      <c r="G225" t="inlineStr"/>
      <c r="H225" t="inlineStr"/>
    </row>
    <row r="226">
      <c r="A226" t="inlineStr">
        <is>
          <t>PHS-0102</t>
        </is>
      </c>
      <c r="B226" t="inlineStr">
        <is>
          <t>https://pixiedustdlp.com/2025/11/28/disneyland-paris-pin-trading-dec-2025/</t>
        </is>
      </c>
      <c r="C226" t="inlineStr">
        <is>
          <t>pixiedustdlp.com</t>
        </is>
      </c>
      <c r="D226" t="inlineStr">
        <is>
          <t>secondary</t>
        </is>
      </c>
      <c r="E226" t="inlineStr">
        <is>
          <t>search snippet / page</t>
        </is>
      </c>
      <c r="F226" t="inlineStr"/>
      <c r="G226" t="inlineStr"/>
      <c r="H226" t="inlineStr"/>
    </row>
    <row r="227">
      <c r="A227" t="inlineStr">
        <is>
          <t>PHS-0103</t>
        </is>
      </c>
      <c r="B227" t="inlineStr">
        <is>
          <t>https://pixiedustdlp.com/2025/11/28/disneyland-paris-pin-trading-dec-2025/</t>
        </is>
      </c>
      <c r="C227" t="inlineStr">
        <is>
          <t>pixiedustdlp.com</t>
        </is>
      </c>
      <c r="D227" t="inlineStr">
        <is>
          <t>secondary</t>
        </is>
      </c>
      <c r="E227" t="inlineStr">
        <is>
          <t>search snippet / page</t>
        </is>
      </c>
      <c r="F227" t="inlineStr"/>
      <c r="G227" t="inlineStr"/>
      <c r="H227" t="inlineStr"/>
    </row>
    <row r="228">
      <c r="A228" t="inlineStr">
        <is>
          <t>PHS-0104</t>
        </is>
      </c>
      <c r="B228" t="inlineStr">
        <is>
          <t>https://pixiedustdlp.com/2025/12/30/disneyland-paris-pin-trading-01-2026/</t>
        </is>
      </c>
      <c r="C228" t="inlineStr">
        <is>
          <t>pixiedustdlp.com</t>
        </is>
      </c>
      <c r="D228" t="inlineStr">
        <is>
          <t>secondary</t>
        </is>
      </c>
      <c r="E228" t="inlineStr">
        <is>
          <t>search snippet / page</t>
        </is>
      </c>
      <c r="F228" t="inlineStr"/>
      <c r="G228" t="inlineStr"/>
      <c r="H228" t="inlineStr"/>
    </row>
    <row r="229">
      <c r="A229" t="inlineStr">
        <is>
          <t>PHS-0104</t>
        </is>
      </c>
      <c r="B229" t="inlineStr">
        <is>
          <t>https://www.mousesteps.com/2025/12/30/disneyland-paris-january-2026-pins-revealed/</t>
        </is>
      </c>
      <c r="C229" t="inlineStr">
        <is>
          <t>mousesteps.com</t>
        </is>
      </c>
      <c r="D229" t="inlineStr">
        <is>
          <t>secondary</t>
        </is>
      </c>
      <c r="E229" t="inlineStr">
        <is>
          <t>search snippet / page</t>
        </is>
      </c>
      <c r="F229" t="inlineStr"/>
      <c r="G229" t="inlineStr"/>
      <c r="H229" t="inlineStr"/>
    </row>
    <row r="230">
      <c r="A230" t="inlineStr">
        <is>
          <t>PHS-0105</t>
        </is>
      </c>
      <c r="B230" t="inlineStr">
        <is>
          <t>https://pixiedustdlp.com/2025/12/30/disneyland-paris-pin-trading-01-2026/</t>
        </is>
      </c>
      <c r="C230" t="inlineStr">
        <is>
          <t>pixiedustdlp.com</t>
        </is>
      </c>
      <c r="D230" t="inlineStr">
        <is>
          <t>secondary</t>
        </is>
      </c>
      <c r="E230" t="inlineStr">
        <is>
          <t>search snippet / page</t>
        </is>
      </c>
      <c r="F230" t="inlineStr"/>
      <c r="G230" t="inlineStr"/>
      <c r="H230" t="inlineStr"/>
    </row>
    <row r="231">
      <c r="A231" t="inlineStr">
        <is>
          <t>PHS-0105</t>
        </is>
      </c>
      <c r="B231" t="inlineStr">
        <is>
          <t>https://www.mousesteps.com/2025/12/30/disneyland-paris-january-2026-pins-revealed/</t>
        </is>
      </c>
      <c r="C231" t="inlineStr">
        <is>
          <t>mousesteps.com</t>
        </is>
      </c>
      <c r="D231" t="inlineStr">
        <is>
          <t>secondary</t>
        </is>
      </c>
      <c r="E231" t="inlineStr">
        <is>
          <t>search snippet / page</t>
        </is>
      </c>
      <c r="F231" t="inlineStr"/>
      <c r="G231" t="inlineStr"/>
      <c r="H231" t="inlineStr"/>
    </row>
    <row r="232">
      <c r="A232" t="inlineStr">
        <is>
          <t>PHS-0106</t>
        </is>
      </c>
      <c r="B232" t="inlineStr">
        <is>
          <t>https://pixiedustdlp.com/2025/12/30/disneyland-paris-pin-trading-01-2026/</t>
        </is>
      </c>
      <c r="C232" t="inlineStr">
        <is>
          <t>pixiedustdlp.com</t>
        </is>
      </c>
      <c r="D232" t="inlineStr">
        <is>
          <t>secondary</t>
        </is>
      </c>
      <c r="E232" t="inlineStr">
        <is>
          <t>search snippet / page</t>
        </is>
      </c>
      <c r="F232" t="inlineStr"/>
      <c r="G232" t="inlineStr"/>
      <c r="H232" t="inlineStr"/>
    </row>
    <row r="233">
      <c r="A233" t="inlineStr">
        <is>
          <t>PHS-0106</t>
        </is>
      </c>
      <c r="B233" t="inlineStr">
        <is>
          <t>https://www.mousesteps.com/2025/12/30/disneyland-paris-january-2026-pins-revealed/</t>
        </is>
      </c>
      <c r="C233" t="inlineStr">
        <is>
          <t>mousesteps.com</t>
        </is>
      </c>
      <c r="D233" t="inlineStr">
        <is>
          <t>secondary</t>
        </is>
      </c>
      <c r="E233" t="inlineStr">
        <is>
          <t>search snippet / page</t>
        </is>
      </c>
      <c r="F233" t="inlineStr"/>
      <c r="G233" t="inlineStr"/>
      <c r="H233" t="inlineStr"/>
    </row>
    <row r="234">
      <c r="A234" t="inlineStr">
        <is>
          <t>PHS-0107</t>
        </is>
      </c>
      <c r="B234" t="inlineStr">
        <is>
          <t>https://pixiedustdlp.com/2025/12/30/disneyland-paris-pin-trading-01-2026/</t>
        </is>
      </c>
      <c r="C234" t="inlineStr">
        <is>
          <t>pixiedustdlp.com</t>
        </is>
      </c>
      <c r="D234" t="inlineStr">
        <is>
          <t>secondary</t>
        </is>
      </c>
      <c r="E234" t="inlineStr">
        <is>
          <t>search snippet / page</t>
        </is>
      </c>
      <c r="F234" t="inlineStr"/>
      <c r="G234" t="inlineStr"/>
      <c r="H234" t="inlineStr"/>
    </row>
    <row r="235">
      <c r="A235" t="inlineStr">
        <is>
          <t>PHS-0107</t>
        </is>
      </c>
      <c r="B235" t="inlineStr">
        <is>
          <t>https://pixiedustdlp.com/2026/01/27/world-of-frozen-countdown-exclusive-pin/</t>
        </is>
      </c>
      <c r="C235" t="inlineStr">
        <is>
          <t>pixiedustdlp.com</t>
        </is>
      </c>
      <c r="D235" t="inlineStr">
        <is>
          <t>secondary</t>
        </is>
      </c>
      <c r="E235" t="inlineStr">
        <is>
          <t>search snippet / page</t>
        </is>
      </c>
      <c r="F235" t="inlineStr"/>
      <c r="G235" t="inlineStr"/>
      <c r="H235" t="inlineStr"/>
    </row>
    <row r="236">
      <c r="A236" t="inlineStr">
        <is>
          <t>PHS-0107</t>
        </is>
      </c>
      <c r="B236" t="inlineStr">
        <is>
          <t>https://www.mousesteps.com/2025/12/30/disneyland-paris-january-2026-pins-revealed/</t>
        </is>
      </c>
      <c r="C236" t="inlineStr">
        <is>
          <t>mousesteps.com</t>
        </is>
      </c>
      <c r="D236" t="inlineStr">
        <is>
          <t>secondary</t>
        </is>
      </c>
      <c r="E236" t="inlineStr">
        <is>
          <t>search snippet / page</t>
        </is>
      </c>
      <c r="F236" t="inlineStr"/>
      <c r="G236" t="inlineStr"/>
      <c r="H236" t="inlineStr"/>
    </row>
    <row r="237">
      <c r="A237" t="inlineStr">
        <is>
          <t>PHS-0108</t>
        </is>
      </c>
      <c r="B237" t="inlineStr">
        <is>
          <t>https://mypincentral.com/blog_post/pin-releases-disneyland-paris-disneyland-paris-flyer-for-february-2026</t>
        </is>
      </c>
      <c r="C237" t="inlineStr">
        <is>
          <t>mypincentral.com</t>
        </is>
      </c>
      <c r="D237" t="inlineStr">
        <is>
          <t>secondary</t>
        </is>
      </c>
      <c r="E237" t="inlineStr">
        <is>
          <t>search snippet / page</t>
        </is>
      </c>
      <c r="F237" t="inlineStr"/>
      <c r="G237" t="inlineStr"/>
      <c r="H237" t="inlineStr"/>
    </row>
    <row r="238">
      <c r="A238" t="inlineStr">
        <is>
          <t>PHS-0108</t>
        </is>
      </c>
      <c r="B238" t="inlineStr">
        <is>
          <t>https://pixiedustdlp.com/2026/01/30/disneyland-paris-pin-trading-febr-2026/</t>
        </is>
      </c>
      <c r="C238" t="inlineStr">
        <is>
          <t>pixiedustdlp.com</t>
        </is>
      </c>
      <c r="D238" t="inlineStr">
        <is>
          <t>secondary</t>
        </is>
      </c>
      <c r="E238" t="inlineStr">
        <is>
          <t>search snippet / page</t>
        </is>
      </c>
      <c r="F238" t="inlineStr"/>
      <c r="G238" t="inlineStr"/>
      <c r="H238" t="inlineStr"/>
    </row>
    <row r="239">
      <c r="A239" t="inlineStr">
        <is>
          <t>PHS-0108</t>
        </is>
      </c>
      <c r="B239" t="inlineStr">
        <is>
          <t>https://www.mousesteps.com/2026/01/30/disneyland-paris-february-2026-pins-revealed-including-valentines-day-world-of-frozen/</t>
        </is>
      </c>
      <c r="C239" t="inlineStr">
        <is>
          <t>mousesteps.com</t>
        </is>
      </c>
      <c r="D239" t="inlineStr">
        <is>
          <t>secondary</t>
        </is>
      </c>
      <c r="E239" t="inlineStr">
        <is>
          <t>search snippet / page</t>
        </is>
      </c>
      <c r="F239" t="inlineStr"/>
      <c r="G239" t="inlineStr"/>
      <c r="H239" t="inlineStr"/>
    </row>
    <row r="240">
      <c r="A240" t="inlineStr">
        <is>
          <t>PHS-0109</t>
        </is>
      </c>
      <c r="B240" t="inlineStr">
        <is>
          <t>https://mypincentral.com/blog_post/pin-releases-disneyland-paris-disneyland-paris-flyer-for-february-2026</t>
        </is>
      </c>
      <c r="C240" t="inlineStr">
        <is>
          <t>mypincentral.com</t>
        </is>
      </c>
      <c r="D240" t="inlineStr">
        <is>
          <t>secondary</t>
        </is>
      </c>
      <c r="E240" t="inlineStr">
        <is>
          <t>search snippet / page</t>
        </is>
      </c>
      <c r="F240" t="inlineStr"/>
      <c r="G240" t="inlineStr"/>
      <c r="H240" t="inlineStr"/>
    </row>
    <row r="241">
      <c r="A241" t="inlineStr">
        <is>
          <t>PHS-0109</t>
        </is>
      </c>
      <c r="B241" t="inlineStr">
        <is>
          <t>https://pixiedustdlp.com/2026/01/30/disneyland-paris-pin-trading-febr-2026/</t>
        </is>
      </c>
      <c r="C241" t="inlineStr">
        <is>
          <t>pixiedustdlp.com</t>
        </is>
      </c>
      <c r="D241" t="inlineStr">
        <is>
          <t>secondary</t>
        </is>
      </c>
      <c r="E241" t="inlineStr">
        <is>
          <t>search snippet / page</t>
        </is>
      </c>
      <c r="F241" t="inlineStr"/>
      <c r="G241" t="inlineStr"/>
      <c r="H241" t="inlineStr"/>
    </row>
    <row r="242">
      <c r="A242" t="inlineStr">
        <is>
          <t>PHS-0109</t>
        </is>
      </c>
      <c r="B242" t="inlineStr">
        <is>
          <t>https://www.mousesteps.com/2026/01/30/disneyland-paris-february-2026-pins-revealed-including-valentines-day-world-of-frozen/</t>
        </is>
      </c>
      <c r="C242" t="inlineStr">
        <is>
          <t>mousesteps.com</t>
        </is>
      </c>
      <c r="D242" t="inlineStr">
        <is>
          <t>secondary</t>
        </is>
      </c>
      <c r="E242" t="inlineStr">
        <is>
          <t>search snippet / page</t>
        </is>
      </c>
      <c r="F242" t="inlineStr"/>
      <c r="G242" t="inlineStr"/>
      <c r="H242" t="inlineStr"/>
    </row>
    <row r="243">
      <c r="A243" t="inlineStr">
        <is>
          <t>PHS-0110</t>
        </is>
      </c>
      <c r="B243" t="inlineStr">
        <is>
          <t>https://pixiedustdlp.com/2026/01/30/disneyland-paris-pin-trading-febr-2026/</t>
        </is>
      </c>
      <c r="C243" t="inlineStr">
        <is>
          <t>pixiedustdlp.com</t>
        </is>
      </c>
      <c r="D243" t="inlineStr">
        <is>
          <t>secondary</t>
        </is>
      </c>
      <c r="E243" t="inlineStr">
        <is>
          <t>search snippet / page</t>
        </is>
      </c>
      <c r="F243" t="inlineStr"/>
      <c r="G243" t="inlineStr"/>
      <c r="H243" t="inlineStr"/>
    </row>
    <row r="244">
      <c r="A244" t="inlineStr">
        <is>
          <t>PHS-0110</t>
        </is>
      </c>
      <c r="B244" t="inlineStr">
        <is>
          <t>https://www.mousesteps.com/2026/01/30/disneyland-paris-february-2026-pins-revealed-including-valentines-day-world-of-frozen/</t>
        </is>
      </c>
      <c r="C244" t="inlineStr">
        <is>
          <t>mousesteps.com</t>
        </is>
      </c>
      <c r="D244" t="inlineStr">
        <is>
          <t>secondary</t>
        </is>
      </c>
      <c r="E244" t="inlineStr">
        <is>
          <t>search snippet / page</t>
        </is>
      </c>
      <c r="F244" t="inlineStr"/>
      <c r="G244" t="inlineStr"/>
      <c r="H244" t="inlineStr"/>
    </row>
    <row r="245">
      <c r="A245" t="inlineStr">
        <is>
          <t>PHS-0111</t>
        </is>
      </c>
      <c r="B245" t="inlineStr">
        <is>
          <t>https://mypincentral.com/blog_post/pin-releases-disneyland-paris-disneyland-paris-flyer-for-february-2026</t>
        </is>
      </c>
      <c r="C245" t="inlineStr">
        <is>
          <t>mypincentral.com</t>
        </is>
      </c>
      <c r="D245" t="inlineStr">
        <is>
          <t>secondary</t>
        </is>
      </c>
      <c r="E245" t="inlineStr">
        <is>
          <t>search snippet / page</t>
        </is>
      </c>
      <c r="F245" t="inlineStr"/>
      <c r="G245" t="inlineStr"/>
      <c r="H245" t="inlineStr"/>
    </row>
    <row r="246">
      <c r="A246" t="inlineStr">
        <is>
          <t>PHS-0111</t>
        </is>
      </c>
      <c r="B246" t="inlineStr">
        <is>
          <t>https://pixiedustdlp.com/2026/01/30/disneyland-paris-pin-trading-febr-2026/</t>
        </is>
      </c>
      <c r="C246" t="inlineStr">
        <is>
          <t>pixiedustdlp.com</t>
        </is>
      </c>
      <c r="D246" t="inlineStr">
        <is>
          <t>secondary</t>
        </is>
      </c>
      <c r="E246" t="inlineStr">
        <is>
          <t>search snippet / page</t>
        </is>
      </c>
      <c r="F246" t="inlineStr"/>
      <c r="G246" t="inlineStr"/>
      <c r="H246" t="inlineStr"/>
    </row>
    <row r="247">
      <c r="A247" t="inlineStr">
        <is>
          <t>PHS-0111</t>
        </is>
      </c>
      <c r="B247" t="inlineStr">
        <is>
          <t>https://www.mousesteps.com/2026/01/30/disneyland-paris-february-2026-pins-revealed-including-valentines-day-world-of-frozen/</t>
        </is>
      </c>
      <c r="C247" t="inlineStr">
        <is>
          <t>mousesteps.com</t>
        </is>
      </c>
      <c r="D247" t="inlineStr">
        <is>
          <t>secondary</t>
        </is>
      </c>
      <c r="E247" t="inlineStr">
        <is>
          <t>search snippet / page</t>
        </is>
      </c>
      <c r="F247" t="inlineStr"/>
      <c r="G247" t="inlineStr"/>
      <c r="H247" t="inlineStr"/>
    </row>
    <row r="248">
      <c r="A248" t="inlineStr">
        <is>
          <t>PHS-0112</t>
        </is>
      </c>
      <c r="B248" t="inlineStr">
        <is>
          <t>https://mypincentral.com/blog_post/pin-releases-disneyland-paris-disneyland-paris-flyer-for-february-2026</t>
        </is>
      </c>
      <c r="C248" t="inlineStr">
        <is>
          <t>mypincentral.com</t>
        </is>
      </c>
      <c r="D248" t="inlineStr">
        <is>
          <t>secondary</t>
        </is>
      </c>
      <c r="E248" t="inlineStr">
        <is>
          <t>search snippet / page</t>
        </is>
      </c>
      <c r="F248" t="inlineStr"/>
      <c r="G248" t="inlineStr"/>
      <c r="H248" t="inlineStr"/>
    </row>
    <row r="249">
      <c r="A249" t="inlineStr">
        <is>
          <t>PHS-0112</t>
        </is>
      </c>
      <c r="B249" t="inlineStr">
        <is>
          <t>https://pixiedustdlp.com/2026/01/30/disneyland-paris-pin-trading-febr-2026/</t>
        </is>
      </c>
      <c r="C249" t="inlineStr">
        <is>
          <t>pixiedustdlp.com</t>
        </is>
      </c>
      <c r="D249" t="inlineStr">
        <is>
          <t>secondary</t>
        </is>
      </c>
      <c r="E249" t="inlineStr">
        <is>
          <t>search snippet / page</t>
        </is>
      </c>
      <c r="F249" t="inlineStr"/>
      <c r="G249" t="inlineStr"/>
      <c r="H249" t="inlineStr"/>
    </row>
    <row r="250">
      <c r="A250" t="inlineStr">
        <is>
          <t>PHS-0112</t>
        </is>
      </c>
      <c r="B250" t="inlineStr">
        <is>
          <t>https://www.mousesteps.com/2026/01/30/disneyland-paris-february-2026-pins-revealed-including-valentines-day-world-of-frozen/</t>
        </is>
      </c>
      <c r="C250" t="inlineStr">
        <is>
          <t>mousesteps.com</t>
        </is>
      </c>
      <c r="D250" t="inlineStr">
        <is>
          <t>secondary</t>
        </is>
      </c>
      <c r="E250" t="inlineStr">
        <is>
          <t>search snippet / page</t>
        </is>
      </c>
      <c r="F250" t="inlineStr"/>
      <c r="G250" t="inlineStr"/>
      <c r="H250" t="inlineStr"/>
    </row>
    <row r="251">
      <c r="A251" t="inlineStr">
        <is>
          <t>PHS-0113</t>
        </is>
      </c>
      <c r="B251" t="inlineStr">
        <is>
          <t>https://pixiedustdlp.com/2026/01/30/disneyland-paris-pin-trading-febr-2026/</t>
        </is>
      </c>
      <c r="C251" t="inlineStr">
        <is>
          <t>pixiedustdlp.com</t>
        </is>
      </c>
      <c r="D251" t="inlineStr">
        <is>
          <t>secondary</t>
        </is>
      </c>
      <c r="E251" t="inlineStr">
        <is>
          <t>search snippet / page</t>
        </is>
      </c>
      <c r="F251" t="inlineStr"/>
      <c r="G251" t="inlineStr"/>
      <c r="H251" t="inlineStr"/>
    </row>
    <row r="252">
      <c r="A252" t="inlineStr">
        <is>
          <t>PHS-0113</t>
        </is>
      </c>
      <c r="B252" t="inlineStr">
        <is>
          <t>https://www.mousesteps.com/2026/01/30/disneyland-paris-february-2026-pins-revealed-including-valentines-day-world-of-frozen/</t>
        </is>
      </c>
      <c r="C252" t="inlineStr">
        <is>
          <t>mousesteps.com</t>
        </is>
      </c>
      <c r="D252" t="inlineStr">
        <is>
          <t>secondary</t>
        </is>
      </c>
      <c r="E252" t="inlineStr">
        <is>
          <t>search snippet / page</t>
        </is>
      </c>
      <c r="F252" t="inlineStr"/>
      <c r="G252" t="inlineStr"/>
      <c r="H252" t="inlineStr"/>
    </row>
    <row r="253">
      <c r="A253" t="inlineStr">
        <is>
          <t>PHS-0114</t>
        </is>
      </c>
      <c r="B253" t="inlineStr">
        <is>
          <t>https://disneymouseketeer.com/disneyland-paris-march-2026-pins-preview-sheet-schedule/</t>
        </is>
      </c>
      <c r="C253" t="inlineStr">
        <is>
          <t>disneymouseketeer.com</t>
        </is>
      </c>
      <c r="D253" t="inlineStr">
        <is>
          <t>secondary</t>
        </is>
      </c>
      <c r="E253" t="inlineStr">
        <is>
          <t>search snippet / page</t>
        </is>
      </c>
      <c r="F253" t="inlineStr"/>
      <c r="G253" t="inlineStr"/>
      <c r="H253" t="inlineStr"/>
    </row>
    <row r="254">
      <c r="A254" t="inlineStr">
        <is>
          <t>PHS-0114</t>
        </is>
      </c>
      <c r="B254" t="inlineStr">
        <is>
          <t>https://disneypinsblog.com/disneyland-paris-march-2026-pin-releases/</t>
        </is>
      </c>
      <c r="C254" t="inlineStr">
        <is>
          <t>disneypinsblog.com</t>
        </is>
      </c>
      <c r="D254" t="inlineStr">
        <is>
          <t>secondary</t>
        </is>
      </c>
      <c r="E254" t="inlineStr">
        <is>
          <t>search snippet / page</t>
        </is>
      </c>
      <c r="F254" t="inlineStr"/>
      <c r="G254" t="inlineStr"/>
      <c r="H254" t="inlineStr"/>
    </row>
    <row r="255">
      <c r="A255" t="inlineStr">
        <is>
          <t>PHS-0114</t>
        </is>
      </c>
      <c r="B255" t="inlineStr">
        <is>
          <t>https://pixiedustdlp.com/2026/02/27/disneyland-paris-pin-trading-03-2026/</t>
        </is>
      </c>
      <c r="C255" t="inlineStr">
        <is>
          <t>pixiedustdlp.com</t>
        </is>
      </c>
      <c r="D255" t="inlineStr">
        <is>
          <t>secondary</t>
        </is>
      </c>
      <c r="E255" t="inlineStr">
        <is>
          <t>search snippet / page</t>
        </is>
      </c>
      <c r="F255" t="inlineStr"/>
      <c r="G255" t="inlineStr"/>
      <c r="H255" t="inlineStr"/>
    </row>
    <row r="256">
      <c r="A256" t="inlineStr">
        <is>
          <t>PHS-0115</t>
        </is>
      </c>
      <c r="B256" t="inlineStr">
        <is>
          <t>https://pixiedustdlp.com/2026/02/27/disneyland-paris-pin-trading-03-2026/</t>
        </is>
      </c>
      <c r="C256" t="inlineStr">
        <is>
          <t>pixiedustdlp.com</t>
        </is>
      </c>
      <c r="D256" t="inlineStr">
        <is>
          <t>secondary</t>
        </is>
      </c>
      <c r="E256" t="inlineStr">
        <is>
          <t>search snippet / page</t>
        </is>
      </c>
      <c r="F256" t="inlineStr"/>
      <c r="G256" t="inlineStr"/>
      <c r="H256" t="inlineStr"/>
    </row>
    <row r="257">
      <c r="A257" t="inlineStr">
        <is>
          <t>PHS-0115</t>
        </is>
      </c>
      <c r="B257" t="inlineStr">
        <is>
          <t>https://www.mousesteps.com/2026/02/27/disneyland-paris-march-2026-pins-revealed-on-2-pages-including-disney-adventure-world/</t>
        </is>
      </c>
      <c r="C257" t="inlineStr">
        <is>
          <t>mousesteps.com</t>
        </is>
      </c>
      <c r="D257" t="inlineStr">
        <is>
          <t>secondary</t>
        </is>
      </c>
      <c r="E257" t="inlineStr">
        <is>
          <t>search snippet / page</t>
        </is>
      </c>
      <c r="F257" t="inlineStr"/>
      <c r="G257" t="inlineStr"/>
      <c r="H257" t="inlineStr"/>
    </row>
    <row r="258">
      <c r="A258" t="inlineStr">
        <is>
          <t>PHS-0116</t>
        </is>
      </c>
      <c r="B258" t="inlineStr">
        <is>
          <t>https://pixiedustdlp.com/2026/02/27/disneyland-paris-pin-trading-03-2026/</t>
        </is>
      </c>
      <c r="C258" t="inlineStr">
        <is>
          <t>pixiedustdlp.com</t>
        </is>
      </c>
      <c r="D258" t="inlineStr">
        <is>
          <t>secondary</t>
        </is>
      </c>
      <c r="E258" t="inlineStr">
        <is>
          <t>search snippet / page</t>
        </is>
      </c>
      <c r="F258" t="inlineStr"/>
      <c r="G258" t="inlineStr"/>
      <c r="H258" t="inlineStr"/>
    </row>
    <row r="259">
      <c r="A259" t="inlineStr">
        <is>
          <t>PHS-0116</t>
        </is>
      </c>
      <c r="B259" t="inlineStr">
        <is>
          <t>https://www.mousesteps.com/2026/02/27/disneyland-paris-march-2026-pins-revealed-on-2-pages-including-disney-adventure-world/</t>
        </is>
      </c>
      <c r="C259" t="inlineStr">
        <is>
          <t>mousesteps.com</t>
        </is>
      </c>
      <c r="D259" t="inlineStr">
        <is>
          <t>secondary</t>
        </is>
      </c>
      <c r="E259" t="inlineStr">
        <is>
          <t>search snippet / page</t>
        </is>
      </c>
      <c r="F259" t="inlineStr"/>
      <c r="G259" t="inlineStr"/>
      <c r="H259" t="inlineStr"/>
    </row>
    <row r="260">
      <c r="A260" t="inlineStr">
        <is>
          <t>PHS-0117</t>
        </is>
      </c>
      <c r="B260" t="inlineStr">
        <is>
          <t>https://pixiedustdlp.com/2026/02/27/disneyland-paris-pin-trading-03-2026/</t>
        </is>
      </c>
      <c r="C260" t="inlineStr">
        <is>
          <t>pixiedustdlp.com</t>
        </is>
      </c>
      <c r="D260" t="inlineStr">
        <is>
          <t>secondary</t>
        </is>
      </c>
      <c r="E260" t="inlineStr">
        <is>
          <t>search snippet / page</t>
        </is>
      </c>
      <c r="F260" t="inlineStr"/>
      <c r="G260" t="inlineStr"/>
      <c r="H260" t="inlineStr"/>
    </row>
    <row r="261">
      <c r="A261" t="inlineStr">
        <is>
          <t>PHS-0117</t>
        </is>
      </c>
      <c r="B261" t="inlineStr">
        <is>
          <t>https://www.mousesteps.com/2026/02/27/disneyland-paris-march-2026-pins-revealed-on-2-pages-including-disney-adventure-world/</t>
        </is>
      </c>
      <c r="C261" t="inlineStr">
        <is>
          <t>mousesteps.com</t>
        </is>
      </c>
      <c r="D261" t="inlineStr">
        <is>
          <t>secondary</t>
        </is>
      </c>
      <c r="E261" t="inlineStr">
        <is>
          <t>search snippet / page</t>
        </is>
      </c>
      <c r="F261" t="inlineStr"/>
      <c r="G261" t="inlineStr"/>
      <c r="H261" t="inlineStr"/>
    </row>
    <row r="262">
      <c r="A262" t="inlineStr">
        <is>
          <t>PHS-0118</t>
        </is>
      </c>
      <c r="B262" t="inlineStr">
        <is>
          <t>https://pixiedustdlp.com/2026/02/27/disneyland-paris-pin-trading-03-2026/</t>
        </is>
      </c>
      <c r="C262" t="inlineStr">
        <is>
          <t>pixiedustdlp.com</t>
        </is>
      </c>
      <c r="D262" t="inlineStr">
        <is>
          <t>secondary</t>
        </is>
      </c>
      <c r="E262" t="inlineStr">
        <is>
          <t>search snippet / page</t>
        </is>
      </c>
      <c r="F262" t="inlineStr"/>
      <c r="G262" t="inlineStr"/>
      <c r="H262" t="inlineStr"/>
    </row>
    <row r="263">
      <c r="A263" t="inlineStr">
        <is>
          <t>PHS-0118</t>
        </is>
      </c>
      <c r="B263" t="inlineStr">
        <is>
          <t>https://www.mousesteps.com/2026/02/27/disneyland-paris-march-2026-pins-revealed-on-2-pages-including-disney-adventure-world/</t>
        </is>
      </c>
      <c r="C263" t="inlineStr">
        <is>
          <t>mousesteps.com</t>
        </is>
      </c>
      <c r="D263" t="inlineStr">
        <is>
          <t>secondary</t>
        </is>
      </c>
      <c r="E263" t="inlineStr">
        <is>
          <t>search snippet / page</t>
        </is>
      </c>
      <c r="F263" t="inlineStr"/>
      <c r="G263" t="inlineStr"/>
      <c r="H263" t="inlineStr"/>
    </row>
    <row r="264">
      <c r="A264" t="inlineStr">
        <is>
          <t>PHS-0119</t>
        </is>
      </c>
      <c r="B264" t="inlineStr">
        <is>
          <t>https://pixiedustdlp.com/2026/04/01/pins-disneyland-paris-april-2026/</t>
        </is>
      </c>
      <c r="C264" t="inlineStr">
        <is>
          <t>pixiedustdlp.com</t>
        </is>
      </c>
      <c r="D264" t="inlineStr">
        <is>
          <t>secondary</t>
        </is>
      </c>
      <c r="E264" t="inlineStr">
        <is>
          <t>search snippet / page</t>
        </is>
      </c>
      <c r="F264" t="inlineStr"/>
      <c r="G264" t="inlineStr"/>
      <c r="H264" t="inlineStr"/>
    </row>
    <row r="265">
      <c r="A265" t="inlineStr">
        <is>
          <t>PHS-0119</t>
        </is>
      </c>
      <c r="B265" t="inlineStr">
        <is>
          <t>https://www.mousesteps.com/2026/04/01/disneyland-paris-april-2026-pins-revealed-including-disney-adventure-world/</t>
        </is>
      </c>
      <c r="C265" t="inlineStr">
        <is>
          <t>mousesteps.com</t>
        </is>
      </c>
      <c r="D265" t="inlineStr">
        <is>
          <t>secondary</t>
        </is>
      </c>
      <c r="E265" t="inlineStr">
        <is>
          <t>search snippet / page</t>
        </is>
      </c>
      <c r="F265" t="inlineStr"/>
      <c r="G265" t="inlineStr"/>
      <c r="H265" t="inlineStr"/>
    </row>
    <row r="266">
      <c r="A266" t="inlineStr">
        <is>
          <t>PHS-0120</t>
        </is>
      </c>
      <c r="B266" t="inlineStr">
        <is>
          <t>https://pixiedustdlp.com/2026/04/01/pins-disneyland-paris-april-2026/</t>
        </is>
      </c>
      <c r="C266" t="inlineStr">
        <is>
          <t>pixiedustdlp.com</t>
        </is>
      </c>
      <c r="D266" t="inlineStr">
        <is>
          <t>secondary</t>
        </is>
      </c>
      <c r="E266" t="inlineStr">
        <is>
          <t>search snippet / page</t>
        </is>
      </c>
      <c r="F266" t="inlineStr"/>
      <c r="G266" t="inlineStr"/>
      <c r="H266" t="inlineStr"/>
    </row>
    <row r="267">
      <c r="A267" t="inlineStr">
        <is>
          <t>PHS-0120</t>
        </is>
      </c>
      <c r="B267" t="inlineStr">
        <is>
          <t>https://www.mousesteps.com/2026/04/01/disneyland-paris-april-2026-pins-revealed-including-disney-adventure-world/</t>
        </is>
      </c>
      <c r="C267" t="inlineStr">
        <is>
          <t>mousesteps.com</t>
        </is>
      </c>
      <c r="D267" t="inlineStr">
        <is>
          <t>secondary</t>
        </is>
      </c>
      <c r="E267" t="inlineStr">
        <is>
          <t>search snippet / page</t>
        </is>
      </c>
      <c r="F267" t="inlineStr"/>
      <c r="G267" t="inlineStr"/>
      <c r="H267" t="inlineStr"/>
    </row>
    <row r="268">
      <c r="A268" t="inlineStr">
        <is>
          <t>PHS-0121</t>
        </is>
      </c>
      <c r="B268" t="inlineStr">
        <is>
          <t>https://www.mousesteps.com/2026/04/01/disneyland-paris-april-2026-pins-revealed-including-disney-adventure-world/</t>
        </is>
      </c>
      <c r="C268" t="inlineStr">
        <is>
          <t>mousesteps.com</t>
        </is>
      </c>
      <c r="D268" t="inlineStr">
        <is>
          <t>secondary</t>
        </is>
      </c>
      <c r="E268" t="inlineStr">
        <is>
          <t>search snippet / page</t>
        </is>
      </c>
      <c r="F268" t="inlineStr"/>
      <c r="G268" t="inlineStr"/>
      <c r="H268" t="inlineStr"/>
    </row>
    <row r="269">
      <c r="A269" t="inlineStr">
        <is>
          <t>PHS-0122</t>
        </is>
      </c>
      <c r="B269" t="inlineStr">
        <is>
          <t>https://www.mousesteps.com/2026/04/01/disneyland-paris-april-2026-pins-revealed-including-disney-adventure-world/</t>
        </is>
      </c>
      <c r="C269" t="inlineStr">
        <is>
          <t>mousesteps.com</t>
        </is>
      </c>
      <c r="D269" t="inlineStr">
        <is>
          <t>secondary</t>
        </is>
      </c>
      <c r="E269" t="inlineStr">
        <is>
          <t>search snippet / page</t>
        </is>
      </c>
      <c r="F269" t="inlineStr"/>
      <c r="G269" t="inlineStr"/>
      <c r="H269" t="inlineStr"/>
    </row>
    <row r="270">
      <c r="A270" t="inlineStr">
        <is>
          <t>PHS-0123</t>
        </is>
      </c>
      <c r="B270" t="inlineStr">
        <is>
          <t>https://pixiedustdlp.com/2026/04/22/new-frozen-ever-after-attraction-key/</t>
        </is>
      </c>
      <c r="C270" t="inlineStr">
        <is>
          <t>pixiedustdlp.com</t>
        </is>
      </c>
      <c r="D270" t="inlineStr">
        <is>
          <t>secondary</t>
        </is>
      </c>
      <c r="E270" t="inlineStr">
        <is>
          <t>search snippet / page</t>
        </is>
      </c>
      <c r="F270" t="inlineStr"/>
      <c r="G270" t="inlineStr"/>
      <c r="H270" t="inlineStr"/>
    </row>
    <row r="271">
      <c r="A271" t="inlineStr">
        <is>
          <t>PHS-0123</t>
        </is>
      </c>
      <c r="B271" t="inlineStr">
        <is>
          <t>https://wdwnt.com/2026/04/frozen-ever-after-collectors-key-coming-soon-to-disneyland-paris/</t>
        </is>
      </c>
      <c r="C271" t="inlineStr">
        <is>
          <t>wdwnt.com</t>
        </is>
      </c>
      <c r="D271" t="inlineStr">
        <is>
          <t>secondary</t>
        </is>
      </c>
      <c r="E271" t="inlineStr">
        <is>
          <t>search snippet / page</t>
        </is>
      </c>
      <c r="F271" t="inlineStr"/>
      <c r="G271" t="inlineStr"/>
      <c r="H271" t="inlineStr"/>
    </row>
    <row r="272">
      <c r="A272" t="inlineStr">
        <is>
          <t>PHS-0123</t>
        </is>
      </c>
      <c r="B272" t="inlineStr">
        <is>
          <t>https://www.mousesteps.com/2026/04/22/le-frozen-ever-after-attraction-key-arrives-to-disneyland-paris-this-week/</t>
        </is>
      </c>
      <c r="C272" t="inlineStr">
        <is>
          <t>mousesteps.com</t>
        </is>
      </c>
      <c r="D272" t="inlineStr">
        <is>
          <t>secondary</t>
        </is>
      </c>
      <c r="E272" t="inlineStr">
        <is>
          <t>search snippet / page</t>
        </is>
      </c>
      <c r="F272" t="inlineStr"/>
      <c r="G272" t="inlineStr"/>
      <c r="H272" t="inlineStr"/>
    </row>
    <row r="273">
      <c r="A273" t="inlineStr">
        <is>
          <t>PHS-0124</t>
        </is>
      </c>
      <c r="B273" t="inlineStr">
        <is>
          <t>https://pixiedustdlp.com/2026/05/01/pins-disneyland-paris-may-2026/</t>
        </is>
      </c>
      <c r="C273" t="inlineStr">
        <is>
          <t>pixiedustdlp.com</t>
        </is>
      </c>
      <c r="D273" t="inlineStr">
        <is>
          <t>secondary</t>
        </is>
      </c>
      <c r="E273" t="inlineStr">
        <is>
          <t>search snippet / page</t>
        </is>
      </c>
      <c r="F273" t="inlineStr"/>
      <c r="G273" t="inlineStr"/>
      <c r="H273" t="inlineStr"/>
    </row>
    <row r="274">
      <c r="A274" t="inlineStr">
        <is>
          <t>PHS-0124</t>
        </is>
      </c>
      <c r="B274" t="inlineStr">
        <is>
          <t>https://www.mousesteps.com/2026/04/29/disneyland-paris-may-2026-pin-release-schedule-revealed/</t>
        </is>
      </c>
      <c r="C274" t="inlineStr">
        <is>
          <t>mousesteps.com</t>
        </is>
      </c>
      <c r="D274" t="inlineStr">
        <is>
          <t>secondary</t>
        </is>
      </c>
      <c r="E274" t="inlineStr">
        <is>
          <t>search snippet / page</t>
        </is>
      </c>
      <c r="F274" t="inlineStr"/>
      <c r="G274" t="inlineStr"/>
      <c r="H274" t="inlineStr"/>
    </row>
    <row r="275">
      <c r="A275" t="inlineStr">
        <is>
          <t>PHS-0125</t>
        </is>
      </c>
      <c r="B275" t="inlineStr">
        <is>
          <t>https://pixiedustdlp.com/2026/05/01/pins-disneyland-paris-may-2026/</t>
        </is>
      </c>
      <c r="C275" t="inlineStr">
        <is>
          <t>pixiedustdlp.com</t>
        </is>
      </c>
      <c r="D275" t="inlineStr">
        <is>
          <t>secondary</t>
        </is>
      </c>
      <c r="E275" t="inlineStr">
        <is>
          <t>search snippet / page</t>
        </is>
      </c>
      <c r="F275" t="inlineStr"/>
      <c r="G275" t="inlineStr"/>
      <c r="H275" t="inlineStr"/>
    </row>
    <row r="276">
      <c r="A276" t="inlineStr">
        <is>
          <t>PHS-0125</t>
        </is>
      </c>
      <c r="B276" t="inlineStr">
        <is>
          <t>https://www.mousesteps.com/2026/04/29/disneyland-paris-may-2026-pin-release-schedule-revealed/</t>
        </is>
      </c>
      <c r="C276" t="inlineStr">
        <is>
          <t>mousesteps.com</t>
        </is>
      </c>
      <c r="D276" t="inlineStr">
        <is>
          <t>secondary</t>
        </is>
      </c>
      <c r="E276" t="inlineStr">
        <is>
          <t>search snippet / page</t>
        </is>
      </c>
      <c r="F276" t="inlineStr"/>
      <c r="G276" t="inlineStr"/>
      <c r="H276" t="inlineStr"/>
    </row>
    <row r="277">
      <c r="A277" t="inlineStr">
        <is>
          <t>PHS-0126</t>
        </is>
      </c>
      <c r="B277" t="inlineStr">
        <is>
          <t>https://pixiedustdlp.com/2026/05/01/pins-disneyland-paris-may-2026/</t>
        </is>
      </c>
      <c r="C277" t="inlineStr">
        <is>
          <t>pixiedustdlp.com</t>
        </is>
      </c>
      <c r="D277" t="inlineStr">
        <is>
          <t>secondary</t>
        </is>
      </c>
      <c r="E277" t="inlineStr">
        <is>
          <t>search snippet / page</t>
        </is>
      </c>
      <c r="F277" t="inlineStr"/>
      <c r="G277" t="inlineStr"/>
      <c r="H277" t="inlineStr"/>
    </row>
    <row r="278">
      <c r="A278" t="inlineStr">
        <is>
          <t>PHS-0126</t>
        </is>
      </c>
      <c r="B278" t="inlineStr">
        <is>
          <t>https://www.mousesteps.com/2026/04/29/disneyland-paris-may-2026-pin-release-schedule-revealed/</t>
        </is>
      </c>
      <c r="C278" t="inlineStr">
        <is>
          <t>mousesteps.com</t>
        </is>
      </c>
      <c r="D278" t="inlineStr">
        <is>
          <t>secondary</t>
        </is>
      </c>
      <c r="E278" t="inlineStr">
        <is>
          <t>search snippet / page</t>
        </is>
      </c>
      <c r="F278" t="inlineStr"/>
      <c r="G278" t="inlineStr"/>
      <c r="H278" t="inlineStr"/>
    </row>
    <row r="279">
      <c r="A279" t="inlineStr">
        <is>
          <t>PHS-0127</t>
        </is>
      </c>
      <c r="B279" t="inlineStr">
        <is>
          <t>https://pixiedustdlp.com/2026/05/01/pins-disneyland-paris-may-2026/</t>
        </is>
      </c>
      <c r="C279" t="inlineStr">
        <is>
          <t>pixiedustdlp.com</t>
        </is>
      </c>
      <c r="D279" t="inlineStr">
        <is>
          <t>secondary</t>
        </is>
      </c>
      <c r="E279" t="inlineStr">
        <is>
          <t>search snippet / page</t>
        </is>
      </c>
      <c r="F279" t="inlineStr"/>
      <c r="G279" t="inlineStr"/>
      <c r="H279" t="inlineStr"/>
    </row>
    <row r="280">
      <c r="A280" t="inlineStr">
        <is>
          <t>PHS-0127</t>
        </is>
      </c>
      <c r="B280" t="inlineStr">
        <is>
          <t>https://www.mousesteps.com/2026/04/29/disneyland-paris-may-2026-pin-release-schedule-revealed/</t>
        </is>
      </c>
      <c r="C280" t="inlineStr">
        <is>
          <t>mousesteps.com</t>
        </is>
      </c>
      <c r="D280" t="inlineStr">
        <is>
          <t>secondary</t>
        </is>
      </c>
      <c r="E280" t="inlineStr">
        <is>
          <t>search snippet / page</t>
        </is>
      </c>
      <c r="F280" t="inlineStr"/>
      <c r="G280" t="inlineStr"/>
      <c r="H280" t="inlineStr"/>
    </row>
    <row r="281">
      <c r="A281" t="inlineStr">
        <is>
          <t>PHS-0128</t>
        </is>
      </c>
      <c r="B281" t="inlineStr">
        <is>
          <t>https://pixiedustdlp.com/2026/05/01/pins-disneyland-paris-may-2026/</t>
        </is>
      </c>
      <c r="C281" t="inlineStr">
        <is>
          <t>pixiedustdlp.com</t>
        </is>
      </c>
      <c r="D281" t="inlineStr">
        <is>
          <t>secondary</t>
        </is>
      </c>
      <c r="E281" t="inlineStr">
        <is>
          <t>search snippet / page</t>
        </is>
      </c>
      <c r="F281" t="inlineStr"/>
      <c r="G281" t="inlineStr"/>
      <c r="H281" t="inlineStr"/>
    </row>
    <row r="282">
      <c r="A282" t="inlineStr">
        <is>
          <t>PHS-0128</t>
        </is>
      </c>
      <c r="B282" t="inlineStr">
        <is>
          <t>https://www.mousesteps.com/2026/04/29/disneyland-paris-may-2026-pin-release-schedule-revealed/</t>
        </is>
      </c>
      <c r="C282" t="inlineStr">
        <is>
          <t>mousesteps.com</t>
        </is>
      </c>
      <c r="D282" t="inlineStr">
        <is>
          <t>secondary</t>
        </is>
      </c>
      <c r="E282" t="inlineStr">
        <is>
          <t>search snippet / page</t>
        </is>
      </c>
      <c r="F282" t="inlineStr"/>
      <c r="G282" t="inlineStr"/>
      <c r="H282" t="inlineStr"/>
    </row>
    <row r="283">
      <c r="A283" t="inlineStr">
        <is>
          <t>PHS-0129</t>
        </is>
      </c>
      <c r="B283" t="inlineStr">
        <is>
          <t>https://www.laughingplace.com/disney-parks/raiponce-tangled-spin-attraction-key/</t>
        </is>
      </c>
      <c r="C283" t="inlineStr">
        <is>
          <t>laughingplace.com</t>
        </is>
      </c>
      <c r="D283" t="inlineStr">
        <is>
          <t>secondary</t>
        </is>
      </c>
      <c r="E283" t="inlineStr">
        <is>
          <t>search snippet / page</t>
        </is>
      </c>
      <c r="F283" t="inlineStr"/>
      <c r="G283" t="inlineStr"/>
      <c r="H283" t="inlineStr"/>
    </row>
    <row r="284">
      <c r="A284" t="inlineStr">
        <is>
          <t>PHS-0129</t>
        </is>
      </c>
      <c r="B284" t="inlineStr">
        <is>
          <t>https://www.mousesteps.com/2026/05/16/le-rapunzel-tangled-spin-attraction-key-releasing-at-disneyland-paris-on-may-23rd/</t>
        </is>
      </c>
      <c r="C284" t="inlineStr">
        <is>
          <t>mousesteps.com</t>
        </is>
      </c>
      <c r="D284" t="inlineStr">
        <is>
          <t>secondary</t>
        </is>
      </c>
      <c r="E284" t="inlineStr">
        <is>
          <t>search snippet / page</t>
        </is>
      </c>
      <c r="F284" t="inlineStr"/>
      <c r="G284" t="inlineStr"/>
      <c r="H284" t="inlineStr"/>
    </row>
    <row r="285">
      <c r="A285" t="inlineStr">
        <is>
          <t>PHS-0130</t>
        </is>
      </c>
      <c r="B285" t="inlineStr">
        <is>
          <t>https://pixiedustdlp.com/2026/05/01/pins-disneyland-paris-may-2026/</t>
        </is>
      </c>
      <c r="C285" t="inlineStr">
        <is>
          <t>pixiedustdlp.com</t>
        </is>
      </c>
      <c r="D285" t="inlineStr">
        <is>
          <t>secondary</t>
        </is>
      </c>
      <c r="E285" t="inlineStr">
        <is>
          <t>search snippet / page</t>
        </is>
      </c>
      <c r="F285" t="inlineStr"/>
      <c r="G285" t="inlineStr"/>
      <c r="H285" t="inlineStr"/>
    </row>
    <row r="286">
      <c r="A286" t="inlineStr">
        <is>
          <t>PHS-0130</t>
        </is>
      </c>
      <c r="B286" t="inlineStr">
        <is>
          <t>https://www.mousesteps.com/2026/04/29/disneyland-paris-may-2026-pin-release-schedule-revealed/</t>
        </is>
      </c>
      <c r="C286" t="inlineStr">
        <is>
          <t>mousesteps.com</t>
        </is>
      </c>
      <c r="D286" t="inlineStr">
        <is>
          <t>secondary</t>
        </is>
      </c>
      <c r="E286" t="inlineStr">
        <is>
          <t>search snippet / page</t>
        </is>
      </c>
      <c r="F286" t="inlineStr"/>
      <c r="G286" t="inlineStr"/>
      <c r="H286" t="inlineStr"/>
    </row>
    <row r="287">
      <c r="A287" t="inlineStr">
        <is>
          <t>PHS-0131</t>
        </is>
      </c>
      <c r="B287" t="inlineStr">
        <is>
          <t>https://pixiedustdlp.com/2026/05/01/pins-disneyland-paris-may-2026/</t>
        </is>
      </c>
      <c r="C287" t="inlineStr">
        <is>
          <t>pixiedustdlp.com</t>
        </is>
      </c>
      <c r="D287" t="inlineStr">
        <is>
          <t>secondary</t>
        </is>
      </c>
      <c r="E287" t="inlineStr">
        <is>
          <t>search snippet / page</t>
        </is>
      </c>
      <c r="F287" t="inlineStr"/>
      <c r="G287" t="inlineStr"/>
      <c r="H287" t="inlineStr"/>
    </row>
    <row r="288">
      <c r="A288" t="inlineStr">
        <is>
          <t>PHS-0131</t>
        </is>
      </c>
      <c r="B288" t="inlineStr">
        <is>
          <t>https://www.mousesteps.com/2026/04/29/disneyland-paris-may-2026-pin-release-schedule-revealed/</t>
        </is>
      </c>
      <c r="C288" t="inlineStr">
        <is>
          <t>mousesteps.com</t>
        </is>
      </c>
      <c r="D288" t="inlineStr">
        <is>
          <t>secondary</t>
        </is>
      </c>
      <c r="E288" t="inlineStr">
        <is>
          <t>search snippet / page</t>
        </is>
      </c>
      <c r="F288" t="inlineStr"/>
      <c r="G288" t="inlineStr"/>
      <c r="H288" t="inlineStr"/>
    </row>
    <row r="289">
      <c r="A289" t="inlineStr">
        <is>
          <t>PHS-0132</t>
        </is>
      </c>
      <c r="B289" t="inlineStr">
        <is>
          <t>https://mypincentral.com/blog_post/pin-releases-disneyland-paris-disneyland-paris-flyer-for-june-2026</t>
        </is>
      </c>
      <c r="C289" t="inlineStr">
        <is>
          <t>mypincentral.com</t>
        </is>
      </c>
      <c r="D289" t="inlineStr">
        <is>
          <t>secondary</t>
        </is>
      </c>
      <c r="E289" t="inlineStr">
        <is>
          <t>search snippet / page</t>
        </is>
      </c>
      <c r="F289" t="inlineStr"/>
      <c r="G289" t="inlineStr"/>
      <c r="H289" t="inlineStr"/>
    </row>
    <row r="290">
      <c r="A290" t="inlineStr">
        <is>
          <t>PHS-0132</t>
        </is>
      </c>
      <c r="B290" t="inlineStr">
        <is>
          <t>https://www.mousesteps.com/2026/06/01/disneyland-paris-june-2026-pin-release-schedule-includes-toy-story-5-atlantis-pride-pins/</t>
        </is>
      </c>
      <c r="C290" t="inlineStr">
        <is>
          <t>mousesteps.com</t>
        </is>
      </c>
      <c r="D290" t="inlineStr">
        <is>
          <t>secondary</t>
        </is>
      </c>
      <c r="E290" t="inlineStr">
        <is>
          <t>search snippet / page</t>
        </is>
      </c>
      <c r="F290" t="inlineStr"/>
      <c r="G290" t="inlineStr"/>
      <c r="H290" t="inlineStr"/>
    </row>
    <row r="291">
      <c r="A291" t="inlineStr">
        <is>
          <t>PHS-0133</t>
        </is>
      </c>
      <c r="B291" t="inlineStr">
        <is>
          <t>https://mypincentral.com/blog_post/pin-releases-disneyland-paris-disneyland-paris-flyer-for-june-2026</t>
        </is>
      </c>
      <c r="C291" t="inlineStr">
        <is>
          <t>mypincentral.com</t>
        </is>
      </c>
      <c r="D291" t="inlineStr">
        <is>
          <t>secondary</t>
        </is>
      </c>
      <c r="E291" t="inlineStr">
        <is>
          <t>search snippet / page</t>
        </is>
      </c>
      <c r="F291" t="inlineStr"/>
      <c r="G291" t="inlineStr"/>
      <c r="H291" t="inlineStr"/>
    </row>
    <row r="292">
      <c r="A292" t="inlineStr">
        <is>
          <t>PHS-0133</t>
        </is>
      </c>
      <c r="B292" t="inlineStr">
        <is>
          <t>https://www.mousesteps.com/2026/06/01/disneyland-paris-june-2026-pin-release-schedule-includes-toy-story-5-atlantis-pride-pins/</t>
        </is>
      </c>
      <c r="C292" t="inlineStr">
        <is>
          <t>mousesteps.com</t>
        </is>
      </c>
      <c r="D292" t="inlineStr">
        <is>
          <t>secondary</t>
        </is>
      </c>
      <c r="E292" t="inlineStr">
        <is>
          <t>search snippet / page</t>
        </is>
      </c>
      <c r="F292" t="inlineStr"/>
      <c r="G292" t="inlineStr"/>
      <c r="H292" t="inlineStr"/>
    </row>
    <row r="293">
      <c r="A293" t="inlineStr">
        <is>
          <t>PHS-0134</t>
        </is>
      </c>
      <c r="B293" t="inlineStr">
        <is>
          <t>https://mypincentral.com/blog_post/pin-releases-disneyland-paris-disneyland-paris-flyer-for-june-2026</t>
        </is>
      </c>
      <c r="C293" t="inlineStr">
        <is>
          <t>mypincentral.com</t>
        </is>
      </c>
      <c r="D293" t="inlineStr">
        <is>
          <t>secondary</t>
        </is>
      </c>
      <c r="E293" t="inlineStr">
        <is>
          <t>search snippet / page</t>
        </is>
      </c>
      <c r="F293" t="inlineStr"/>
      <c r="G293" t="inlineStr"/>
      <c r="H293" t="inlineStr"/>
    </row>
    <row r="294">
      <c r="A294" t="inlineStr">
        <is>
          <t>PHS-0134</t>
        </is>
      </c>
      <c r="B294" t="inlineStr">
        <is>
          <t>https://www.mousesteps.com/2026/06/01/disneyland-paris-june-2026-pin-release-schedule-includes-toy-story-5-atlantis-pride-pins/</t>
        </is>
      </c>
      <c r="C294" t="inlineStr">
        <is>
          <t>mousesteps.com</t>
        </is>
      </c>
      <c r="D294" t="inlineStr">
        <is>
          <t>secondary</t>
        </is>
      </c>
      <c r="E294" t="inlineStr">
        <is>
          <t>search snippet / page</t>
        </is>
      </c>
      <c r="F294" t="inlineStr"/>
      <c r="G294" t="inlineStr"/>
      <c r="H294" t="inlineStr"/>
    </row>
    <row r="295">
      <c r="A295" t="inlineStr">
        <is>
          <t>PHS-0135</t>
        </is>
      </c>
      <c r="B295" t="inlineStr">
        <is>
          <t>https://mypincentral.com/blog_post/pin-releases-disneyland-paris-disneyland-paris-flyer-for-june-2026</t>
        </is>
      </c>
      <c r="C295" t="inlineStr">
        <is>
          <t>mypincentral.com</t>
        </is>
      </c>
      <c r="D295" t="inlineStr">
        <is>
          <t>secondary</t>
        </is>
      </c>
      <c r="E295" t="inlineStr">
        <is>
          <t>search snippet / page</t>
        </is>
      </c>
      <c r="F295" t="inlineStr"/>
      <c r="G295" t="inlineStr"/>
      <c r="H295" t="inlineStr"/>
    </row>
    <row r="296">
      <c r="A296" t="inlineStr">
        <is>
          <t>PHS-0135</t>
        </is>
      </c>
      <c r="B296" t="inlineStr">
        <is>
          <t>https://pixiedustdlp.com/2026/06/01/pins-disneyland-paris-06-2026/</t>
        </is>
      </c>
      <c r="C296" t="inlineStr">
        <is>
          <t>pixiedustdlp.com</t>
        </is>
      </c>
      <c r="D296" t="inlineStr">
        <is>
          <t>secondary</t>
        </is>
      </c>
      <c r="E296" t="inlineStr">
        <is>
          <t>search snippet / page</t>
        </is>
      </c>
      <c r="F296" t="inlineStr"/>
      <c r="G296" t="inlineStr"/>
      <c r="H296" t="inlineStr"/>
    </row>
    <row r="297">
      <c r="A297" t="inlineStr">
        <is>
          <t>PHS-0135</t>
        </is>
      </c>
      <c r="B297" t="inlineStr">
        <is>
          <t>https://www.mousesteps.com/2026/06/01/disneyland-paris-june-2026-pin-release-schedule-includes-toy-story-5-atlantis-pride-pins/</t>
        </is>
      </c>
      <c r="C297" t="inlineStr">
        <is>
          <t>mousesteps.com</t>
        </is>
      </c>
      <c r="D297" t="inlineStr">
        <is>
          <t>secondary</t>
        </is>
      </c>
      <c r="E297" t="inlineStr">
        <is>
          <t>search snippet / page</t>
        </is>
      </c>
      <c r="F297" t="inlineStr"/>
      <c r="G297" t="inlineStr"/>
      <c r="H297" t="inlineStr"/>
    </row>
    <row r="298">
      <c r="A298" t="inlineStr">
        <is>
          <t>PHS-0136</t>
        </is>
      </c>
      <c r="B298" t="inlineStr">
        <is>
          <t>https://mypincentral.com/blog_post/pin-releases-disneyland-paris-disneyland-paris-flyer-for-june-2026</t>
        </is>
      </c>
      <c r="C298" t="inlineStr">
        <is>
          <t>mypincentral.com</t>
        </is>
      </c>
      <c r="D298" t="inlineStr">
        <is>
          <t>secondary</t>
        </is>
      </c>
      <c r="E298" t="inlineStr">
        <is>
          <t>search snippet / page</t>
        </is>
      </c>
      <c r="F298" t="inlineStr"/>
      <c r="G298" t="inlineStr"/>
      <c r="H298" t="inlineStr"/>
    </row>
    <row r="299">
      <c r="A299" t="inlineStr">
        <is>
          <t>PHS-0136</t>
        </is>
      </c>
      <c r="B299" t="inlineStr">
        <is>
          <t>https://www.mousesteps.com/2026/06/01/disneyland-paris-june-2026-pin-release-schedule-includes-toy-story-5-atlantis-pride-pins/</t>
        </is>
      </c>
      <c r="C299" t="inlineStr">
        <is>
          <t>mousesteps.com</t>
        </is>
      </c>
      <c r="D299" t="inlineStr">
        <is>
          <t>secondary</t>
        </is>
      </c>
      <c r="E299" t="inlineStr">
        <is>
          <t>search snippet / page</t>
        </is>
      </c>
      <c r="F299" t="inlineStr"/>
      <c r="G299" t="inlineStr"/>
      <c r="H299" t="inlineStr"/>
    </row>
    <row r="300">
      <c r="A300" t="inlineStr">
        <is>
          <t>PHS-0137</t>
        </is>
      </c>
      <c r="B300" t="inlineStr">
        <is>
          <t>https://mypincentral.com/blog_post/pin-releases-disneyland-paris-disneyland-paris-flyer-for-june-2026</t>
        </is>
      </c>
      <c r="C300" t="inlineStr">
        <is>
          <t>mypincentral.com</t>
        </is>
      </c>
      <c r="D300" t="inlineStr">
        <is>
          <t>secondary</t>
        </is>
      </c>
      <c r="E300" t="inlineStr">
        <is>
          <t>search snippet / page</t>
        </is>
      </c>
      <c r="F300" t="inlineStr"/>
      <c r="G300" t="inlineStr"/>
      <c r="H300" t="inlineStr"/>
    </row>
    <row r="301">
      <c r="A301" t="inlineStr">
        <is>
          <t>PHS-0137</t>
        </is>
      </c>
      <c r="B301" t="inlineStr">
        <is>
          <t>https://www.mousesteps.com/2026/06/01/disneyland-paris-june-2026-pin-release-schedule-includes-toy-story-5-atlantis-pride-pins/</t>
        </is>
      </c>
      <c r="C301" t="inlineStr">
        <is>
          <t>mousesteps.com</t>
        </is>
      </c>
      <c r="D301" t="inlineStr">
        <is>
          <t>secondary</t>
        </is>
      </c>
      <c r="E301" t="inlineStr">
        <is>
          <t>search snippet / page</t>
        </is>
      </c>
      <c r="F301" t="inlineStr"/>
      <c r="G301" t="inlineStr"/>
      <c r="H301" t="inlineStr"/>
    </row>
    <row r="302">
      <c r="A302" t="inlineStr">
        <is>
          <t>PHS-0138</t>
        </is>
      </c>
      <c r="B302" t="inlineStr">
        <is>
          <t>https://mypincentral.com/blog_post/pin-releases-disneyland-paris-disneyland-paris-flyer-for-june-2026</t>
        </is>
      </c>
      <c r="C302" t="inlineStr">
        <is>
          <t>mypincentral.com</t>
        </is>
      </c>
      <c r="D302" t="inlineStr">
        <is>
          <t>secondary</t>
        </is>
      </c>
      <c r="E302" t="inlineStr">
        <is>
          <t>search snippet / page</t>
        </is>
      </c>
      <c r="F302" t="inlineStr"/>
      <c r="G302" t="inlineStr"/>
      <c r="H302" t="inlineStr"/>
    </row>
    <row r="303">
      <c r="A303" t="inlineStr">
        <is>
          <t>PHS-0138</t>
        </is>
      </c>
      <c r="B303" t="inlineStr">
        <is>
          <t>https://pixiedustdlp.com/2026/06/01/pins-disneyland-paris-06-2026/</t>
        </is>
      </c>
      <c r="C303" t="inlineStr">
        <is>
          <t>pixiedustdlp.com</t>
        </is>
      </c>
      <c r="D303" t="inlineStr">
        <is>
          <t>secondary</t>
        </is>
      </c>
      <c r="E303" t="inlineStr">
        <is>
          <t>search snippet / page</t>
        </is>
      </c>
      <c r="F303" t="inlineStr"/>
      <c r="G303" t="inlineStr"/>
      <c r="H303" t="inlineStr"/>
    </row>
    <row r="304">
      <c r="A304" t="inlineStr">
        <is>
          <t>PHS-0138</t>
        </is>
      </c>
      <c r="B304" t="inlineStr">
        <is>
          <t>https://www.mousesteps.com/2026/06/01/disneyland-paris-june-2026-pin-release-schedule-includes-toy-story-5-atlantis-pride-pins/</t>
        </is>
      </c>
      <c r="C304" t="inlineStr">
        <is>
          <t>mousesteps.com</t>
        </is>
      </c>
      <c r="D304" t="inlineStr">
        <is>
          <t>secondary</t>
        </is>
      </c>
      <c r="E304" t="inlineStr">
        <is>
          <t>search snippet / page</t>
        </is>
      </c>
      <c r="F304" t="inlineStr"/>
      <c r="G304" t="inlineStr"/>
      <c r="H304" t="inlineStr"/>
    </row>
    <row r="305">
      <c r="A305" t="inlineStr">
        <is>
          <t>PHS-0139</t>
        </is>
      </c>
      <c r="B305" t="inlineStr">
        <is>
          <t>https://mypincentral.com/blog_post/pin-releases-disneyland-paris-disneyland-paris-flyer-for-june-2026</t>
        </is>
      </c>
      <c r="C305" t="inlineStr">
        <is>
          <t>mypincentral.com</t>
        </is>
      </c>
      <c r="D305" t="inlineStr">
        <is>
          <t>secondary</t>
        </is>
      </c>
      <c r="E305" t="inlineStr">
        <is>
          <t>search snippet / page</t>
        </is>
      </c>
      <c r="F305" t="inlineStr"/>
      <c r="G305" t="inlineStr"/>
      <c r="H305" t="inlineStr"/>
    </row>
    <row r="306">
      <c r="A306" t="inlineStr">
        <is>
          <t>PHS-0139</t>
        </is>
      </c>
      <c r="B306" t="inlineStr">
        <is>
          <t>https://pixiedustdlp.com/2026/06/01/pins-disneyland-paris-06-2026/</t>
        </is>
      </c>
      <c r="C306" t="inlineStr">
        <is>
          <t>pixiedustdlp.com</t>
        </is>
      </c>
      <c r="D306" t="inlineStr">
        <is>
          <t>secondary</t>
        </is>
      </c>
      <c r="E306" t="inlineStr">
        <is>
          <t>search snippet / page</t>
        </is>
      </c>
      <c r="F306" t="inlineStr"/>
      <c r="G306" t="inlineStr"/>
      <c r="H306" t="inlineStr"/>
    </row>
    <row r="307">
      <c r="A307" t="inlineStr">
        <is>
          <t>PHS-0139</t>
        </is>
      </c>
      <c r="B307" t="inlineStr">
        <is>
          <t>https://www.mousesteps.com/2026/06/01/disneyland-paris-june-2026-pin-release-schedule-includes-toy-story-5-atlantis-pride-pins/</t>
        </is>
      </c>
      <c r="C307" t="inlineStr">
        <is>
          <t>mousesteps.com</t>
        </is>
      </c>
      <c r="D307" t="inlineStr">
        <is>
          <t>secondary</t>
        </is>
      </c>
      <c r="E307" t="inlineStr">
        <is>
          <t>search snippet / page</t>
        </is>
      </c>
      <c r="F307" t="inlineStr"/>
      <c r="G307" t="inlineStr"/>
      <c r="H307" t="inlineStr"/>
    </row>
    <row r="308">
      <c r="A308" t="inlineStr">
        <is>
          <t>PHS-0140</t>
        </is>
      </c>
      <c r="B308" t="inlineStr">
        <is>
          <t>https://mypincentral.com/blog_post/pin-releases-disneyland-paris-disneyland-paris-flyer-for-june-2026</t>
        </is>
      </c>
      <c r="C308" t="inlineStr">
        <is>
          <t>mypincentral.com</t>
        </is>
      </c>
      <c r="D308" t="inlineStr">
        <is>
          <t>secondary</t>
        </is>
      </c>
      <c r="E308" t="inlineStr">
        <is>
          <t>search snippet / page</t>
        </is>
      </c>
      <c r="F308" t="inlineStr"/>
      <c r="G308" t="inlineStr"/>
      <c r="H308" t="inlineStr"/>
    </row>
    <row r="309">
      <c r="A309" t="inlineStr">
        <is>
          <t>PHS-0140</t>
        </is>
      </c>
      <c r="B309" t="inlineStr">
        <is>
          <t>https://www.mousesteps.com/2026/06/01/disneyland-paris-june-2026-pin-release-schedule-includes-toy-story-5-atlantis-pride-pins/</t>
        </is>
      </c>
      <c r="C309" t="inlineStr">
        <is>
          <t>mousesteps.com</t>
        </is>
      </c>
      <c r="D309" t="inlineStr">
        <is>
          <t>secondary</t>
        </is>
      </c>
      <c r="E309" t="inlineStr">
        <is>
          <t>search snippet / page</t>
        </is>
      </c>
      <c r="F309" t="inlineStr"/>
      <c r="G309" t="inlineStr"/>
      <c r="H309" t="inlineStr"/>
    </row>
    <row r="310">
      <c r="A310" t="inlineStr">
        <is>
          <t>PHS-0141</t>
        </is>
      </c>
      <c r="B310" t="inlineStr">
        <is>
          <t>https://mypincentral.com/blog_post/pin-releases-disneyland-paris-disneyland-paris-flyer-for-june-2026</t>
        </is>
      </c>
      <c r="C310" t="inlineStr">
        <is>
          <t>mypincentral.com</t>
        </is>
      </c>
      <c r="D310" t="inlineStr">
        <is>
          <t>secondary</t>
        </is>
      </c>
      <c r="E310" t="inlineStr">
        <is>
          <t>search snippet / page</t>
        </is>
      </c>
      <c r="F310" t="inlineStr"/>
      <c r="G310" t="inlineStr"/>
      <c r="H310" t="inlineStr"/>
    </row>
    <row r="311">
      <c r="A311" t="inlineStr">
        <is>
          <t>PHS-0141</t>
        </is>
      </c>
      <c r="B311" t="inlineStr">
        <is>
          <t>https://pixiedustdlp.com/2026/06/01/pins-disneyland-paris-06-2026/</t>
        </is>
      </c>
      <c r="C311" t="inlineStr">
        <is>
          <t>pixiedustdlp.com</t>
        </is>
      </c>
      <c r="D311" t="inlineStr">
        <is>
          <t>secondary</t>
        </is>
      </c>
      <c r="E311" t="inlineStr">
        <is>
          <t>search snippet / page</t>
        </is>
      </c>
      <c r="F311" t="inlineStr"/>
      <c r="G311" t="inlineStr"/>
      <c r="H311" t="inlineStr"/>
    </row>
    <row r="312">
      <c r="A312" t="inlineStr">
        <is>
          <t>PHS-0141</t>
        </is>
      </c>
      <c r="B312" t="inlineStr">
        <is>
          <t>https://www.mousesteps.com/2026/06/01/disneyland-paris-june-2026-pin-release-schedule-includes-toy-story-5-atlantis-pride-pins/</t>
        </is>
      </c>
      <c r="C312" t="inlineStr">
        <is>
          <t>mousesteps.com</t>
        </is>
      </c>
      <c r="D312" t="inlineStr">
        <is>
          <t>secondary</t>
        </is>
      </c>
      <c r="E312" t="inlineStr">
        <is>
          <t>search snippet / page</t>
        </is>
      </c>
      <c r="F312" t="inlineStr"/>
      <c r="G312" t="inlineStr"/>
      <c r="H312" t="inlineStr"/>
    </row>
    <row r="313">
      <c r="A313" t="inlineStr">
        <is>
          <t>PHS-0142</t>
        </is>
      </c>
      <c r="B313" t="inlineStr">
        <is>
          <t>https://mypincentral.com/blog_post/pin-releases-disneyland-paris-disneyland-paris-flyer-for-july-2026</t>
        </is>
      </c>
      <c r="C313" t="inlineStr">
        <is>
          <t>mypincentral.com</t>
        </is>
      </c>
      <c r="D313" t="inlineStr">
        <is>
          <t>secondary</t>
        </is>
      </c>
      <c r="E313" t="inlineStr">
        <is>
          <t>search snippet / page</t>
        </is>
      </c>
      <c r="F313" t="inlineStr"/>
      <c r="G313" t="inlineStr"/>
      <c r="H313" t="inlineStr"/>
    </row>
    <row r="314">
      <c r="A314" t="inlineStr">
        <is>
          <t>PHS-0142</t>
        </is>
      </c>
      <c r="B314" t="inlineStr">
        <is>
          <t>https://pixiedustdlp.com/2026/06/29/pin-trading-disneyland-paris-july-2026/</t>
        </is>
      </c>
      <c r="C314" t="inlineStr">
        <is>
          <t>pixiedustdlp.com</t>
        </is>
      </c>
      <c r="D314" t="inlineStr">
        <is>
          <t>secondary</t>
        </is>
      </c>
      <c r="E314" t="inlineStr">
        <is>
          <t>search snippet / page</t>
        </is>
      </c>
      <c r="F314" t="inlineStr"/>
      <c r="G314" t="inlineStr"/>
      <c r="H314" t="inlineStr"/>
    </row>
    <row r="315">
      <c r="A315" t="inlineStr">
        <is>
          <t>PHS-0142</t>
        </is>
      </c>
      <c r="B315" t="inlineStr">
        <is>
          <t>https://www.mousesteps.com/2026/06/29/disneyland-paris-july-2026-pin-release-schedule-revealed/</t>
        </is>
      </c>
      <c r="C315" t="inlineStr">
        <is>
          <t>mousesteps.com</t>
        </is>
      </c>
      <c r="D315" t="inlineStr">
        <is>
          <t>secondary</t>
        </is>
      </c>
      <c r="E315" t="inlineStr">
        <is>
          <t>search snippet / page</t>
        </is>
      </c>
      <c r="F315" t="inlineStr"/>
      <c r="G315" t="inlineStr"/>
      <c r="H315" t="inlineStr"/>
    </row>
    <row r="316">
      <c r="A316" t="inlineStr">
        <is>
          <t>PHS-0143</t>
        </is>
      </c>
      <c r="B316" t="inlineStr">
        <is>
          <t>https://mypincentral.com/blog_post/pin-releases-disneyland-paris-disneyland-paris-flyer-for-july-2026</t>
        </is>
      </c>
      <c r="C316" t="inlineStr">
        <is>
          <t>mypincentral.com</t>
        </is>
      </c>
      <c r="D316" t="inlineStr">
        <is>
          <t>secondary</t>
        </is>
      </c>
      <c r="E316" t="inlineStr">
        <is>
          <t>search snippet / page</t>
        </is>
      </c>
      <c r="F316" t="inlineStr"/>
      <c r="G316" t="inlineStr"/>
      <c r="H316" t="inlineStr"/>
    </row>
    <row r="317">
      <c r="A317" t="inlineStr">
        <is>
          <t>PHS-0143</t>
        </is>
      </c>
      <c r="B317" t="inlineStr">
        <is>
          <t>https://www.mousesteps.com/2026/06/29/disneyland-paris-july-2026-pin-release-schedule-revealed/</t>
        </is>
      </c>
      <c r="C317" t="inlineStr">
        <is>
          <t>mousesteps.com</t>
        </is>
      </c>
      <c r="D317" t="inlineStr">
        <is>
          <t>secondary</t>
        </is>
      </c>
      <c r="E317" t="inlineStr">
        <is>
          <t>search snippet / page</t>
        </is>
      </c>
      <c r="F317" t="inlineStr"/>
      <c r="G317" t="inlineStr"/>
      <c r="H317" t="inlineStr"/>
    </row>
    <row r="318">
      <c r="A318" t="inlineStr">
        <is>
          <t>PHS-0144</t>
        </is>
      </c>
      <c r="B318" t="inlineStr">
        <is>
          <t>https://mypincentral.com/blog_post/pin-releases-disneyland-paris-disneyland-paris-flyer-for-july-2026</t>
        </is>
      </c>
      <c r="C318" t="inlineStr">
        <is>
          <t>mypincentral.com</t>
        </is>
      </c>
      <c r="D318" t="inlineStr">
        <is>
          <t>secondary</t>
        </is>
      </c>
      <c r="E318" t="inlineStr">
        <is>
          <t>search snippet / page</t>
        </is>
      </c>
      <c r="F318" t="inlineStr"/>
      <c r="G318" t="inlineStr"/>
      <c r="H318" t="inlineStr"/>
    </row>
    <row r="319">
      <c r="A319" t="inlineStr">
        <is>
          <t>PHS-0144</t>
        </is>
      </c>
      <c r="B319" t="inlineStr">
        <is>
          <t>https://www.mousesteps.com/2026/06/29/disneyland-paris-july-2026-pin-release-schedule-revealed/</t>
        </is>
      </c>
      <c r="C319" t="inlineStr">
        <is>
          <t>mousesteps.com</t>
        </is>
      </c>
      <c r="D319" t="inlineStr">
        <is>
          <t>secondary</t>
        </is>
      </c>
      <c r="E319" t="inlineStr">
        <is>
          <t>search snippet / page</t>
        </is>
      </c>
      <c r="F319" t="inlineStr"/>
      <c r="G319" t="inlineStr"/>
      <c r="H319" t="inlineStr"/>
    </row>
    <row r="320">
      <c r="A320" t="inlineStr">
        <is>
          <t>PHS-0145</t>
        </is>
      </c>
      <c r="B320" t="inlineStr">
        <is>
          <t>https://pixiedustdlp.com/2026/06/29/pin-trading-disneyland-paris-july-2026/</t>
        </is>
      </c>
      <c r="C320" t="inlineStr">
        <is>
          <t>pixiedustdlp.com</t>
        </is>
      </c>
      <c r="D320" t="inlineStr">
        <is>
          <t>secondary</t>
        </is>
      </c>
      <c r="E320" t="inlineStr">
        <is>
          <t>search snippet / page</t>
        </is>
      </c>
      <c r="F320" t="inlineStr"/>
      <c r="G320" t="inlineStr"/>
      <c r="H320" t="inlineStr"/>
    </row>
    <row r="321">
      <c r="A321" t="inlineStr">
        <is>
          <t>PHS-0145</t>
        </is>
      </c>
      <c r="B321" t="inlineStr">
        <is>
          <t>https://www.mousesteps.com/2026/06/29/disneyland-paris-july-2026-pin-release-schedule-revealed/</t>
        </is>
      </c>
      <c r="C321" t="inlineStr">
        <is>
          <t>mousesteps.com</t>
        </is>
      </c>
      <c r="D321" t="inlineStr">
        <is>
          <t>secondary</t>
        </is>
      </c>
      <c r="E321" t="inlineStr">
        <is>
          <t>search snippet / page</t>
        </is>
      </c>
      <c r="F321" t="inlineStr"/>
      <c r="G321" t="inlineStr"/>
      <c r="H321" t="inlineStr"/>
    </row>
    <row r="322">
      <c r="A322" t="inlineStr">
        <is>
          <t>PHS-0146</t>
        </is>
      </c>
      <c r="B322" t="inlineStr">
        <is>
          <t>https://mypincentral.com/blog_post/pin-releases-disneyland-paris-disneyland-paris-flyer-for-july-2026</t>
        </is>
      </c>
      <c r="C322" t="inlineStr">
        <is>
          <t>mypincentral.com</t>
        </is>
      </c>
      <c r="D322" t="inlineStr">
        <is>
          <t>secondary</t>
        </is>
      </c>
      <c r="E322" t="inlineStr">
        <is>
          <t>search snippet / page</t>
        </is>
      </c>
      <c r="F322" t="inlineStr"/>
      <c r="G322" t="inlineStr"/>
      <c r="H322" t="inlineStr"/>
    </row>
    <row r="323">
      <c r="A323" t="inlineStr">
        <is>
          <t>PHS-0146</t>
        </is>
      </c>
      <c r="B323" t="inlineStr">
        <is>
          <t>https://pixiedustdlp.com/2026/06/29/pin-trading-disneyland-paris-july-2026/</t>
        </is>
      </c>
      <c r="C323" t="inlineStr">
        <is>
          <t>pixiedustdlp.com</t>
        </is>
      </c>
      <c r="D323" t="inlineStr">
        <is>
          <t>secondary</t>
        </is>
      </c>
      <c r="E323" t="inlineStr">
        <is>
          <t>search snippet / page</t>
        </is>
      </c>
      <c r="F323" t="inlineStr"/>
      <c r="G323" t="inlineStr"/>
      <c r="H323" t="inlineStr"/>
    </row>
    <row r="324">
      <c r="A324" t="inlineStr">
        <is>
          <t>PHS-0146</t>
        </is>
      </c>
      <c r="B324" t="inlineStr">
        <is>
          <t>https://www.mousesteps.com/2026/06/29/disneyland-paris-july-2026-pin-release-schedule-revealed/</t>
        </is>
      </c>
      <c r="C324" t="inlineStr">
        <is>
          <t>mousesteps.com</t>
        </is>
      </c>
      <c r="D324" t="inlineStr">
        <is>
          <t>secondary</t>
        </is>
      </c>
      <c r="E324" t="inlineStr">
        <is>
          <t>search snippet / page</t>
        </is>
      </c>
      <c r="F324" t="inlineStr"/>
      <c r="G324" t="inlineStr"/>
      <c r="H324" t="inlineStr"/>
    </row>
    <row r="325">
      <c r="A325" t="inlineStr">
        <is>
          <t>PHS-0147</t>
        </is>
      </c>
      <c r="B325" t="inlineStr">
        <is>
          <t>https://mypincentral.com/blog_post/pin-releases-disneyland-paris-disneyland-paris-flyer-for-july-2026</t>
        </is>
      </c>
      <c r="C325" t="inlineStr">
        <is>
          <t>mypincentral.com</t>
        </is>
      </c>
      <c r="D325" t="inlineStr">
        <is>
          <t>secondary</t>
        </is>
      </c>
      <c r="E325" t="inlineStr">
        <is>
          <t>search snippet / page</t>
        </is>
      </c>
      <c r="F325" t="inlineStr"/>
      <c r="G325" t="inlineStr"/>
      <c r="H325" t="inlineStr"/>
    </row>
    <row r="326">
      <c r="A326" t="inlineStr">
        <is>
          <t>PHS-0147</t>
        </is>
      </c>
      <c r="B326" t="inlineStr">
        <is>
          <t>https://pixiedustdlp.com/2026/06/29/pin-trading-disneyland-paris-july-2026/</t>
        </is>
      </c>
      <c r="C326" t="inlineStr">
        <is>
          <t>pixiedustdlp.com</t>
        </is>
      </c>
      <c r="D326" t="inlineStr">
        <is>
          <t>secondary</t>
        </is>
      </c>
      <c r="E326" t="inlineStr">
        <is>
          <t>search snippet / page</t>
        </is>
      </c>
      <c r="F326" t="inlineStr"/>
      <c r="G326" t="inlineStr"/>
      <c r="H326" t="inlineStr"/>
    </row>
    <row r="327">
      <c r="A327" t="inlineStr">
        <is>
          <t>PHS-0147</t>
        </is>
      </c>
      <c r="B327" t="inlineStr">
        <is>
          <t>https://www.mousesteps.com/2026/06/29/disneyland-paris-july-2026-pin-release-schedule-revealed/</t>
        </is>
      </c>
      <c r="C327" t="inlineStr">
        <is>
          <t>mousesteps.com</t>
        </is>
      </c>
      <c r="D327" t="inlineStr">
        <is>
          <t>secondary</t>
        </is>
      </c>
      <c r="E327" t="inlineStr">
        <is>
          <t>search snippet / page</t>
        </is>
      </c>
      <c r="F327" t="inlineStr"/>
      <c r="G327" t="inlineStr"/>
      <c r="H327" t="inlineStr"/>
    </row>
    <row r="328">
      <c r="A328" t="inlineStr">
        <is>
          <t>PHS-0148</t>
        </is>
      </c>
      <c r="B328" t="inlineStr">
        <is>
          <t>https://pixiedustdlp.com/2026/06/29/pin-trading-disneyland-paris-july-2026/</t>
        </is>
      </c>
      <c r="C328" t="inlineStr">
        <is>
          <t>pixiedustdlp.com</t>
        </is>
      </c>
      <c r="D328" t="inlineStr">
        <is>
          <t>secondary</t>
        </is>
      </c>
      <c r="E328" t="inlineStr">
        <is>
          <t>search snippet / page</t>
        </is>
      </c>
      <c r="F328" t="inlineStr"/>
      <c r="G328" t="inlineStr"/>
      <c r="H328" t="inlineStr"/>
    </row>
    <row r="329">
      <c r="A329" t="inlineStr">
        <is>
          <t>PHS-0148</t>
        </is>
      </c>
      <c r="B329" t="inlineStr">
        <is>
          <t>https://www.mousesteps.com/2026/06/29/disneyland-paris-july-2026-pin-release-schedule-revealed/</t>
        </is>
      </c>
      <c r="C329" t="inlineStr">
        <is>
          <t>mousesteps.com</t>
        </is>
      </c>
      <c r="D329" t="inlineStr">
        <is>
          <t>secondary</t>
        </is>
      </c>
      <c r="E329" t="inlineStr">
        <is>
          <t>search snippet / page</t>
        </is>
      </c>
      <c r="F329" t="inlineStr"/>
      <c r="G329" t="inlineStr"/>
      <c r="H329" t="inlineStr"/>
    </row>
    <row r="330">
      <c r="A330" t="inlineStr">
        <is>
          <t>PHS-0149</t>
        </is>
      </c>
      <c r="B330" t="inlineStr">
        <is>
          <t>https://mypincentral.com/blog_post/pin-releases-disneyland-paris-disneyland-paris-flyer-for-july-2026</t>
        </is>
      </c>
      <c r="C330" t="inlineStr">
        <is>
          <t>mypincentral.com</t>
        </is>
      </c>
      <c r="D330" t="inlineStr">
        <is>
          <t>secondary</t>
        </is>
      </c>
      <c r="E330" t="inlineStr">
        <is>
          <t>search snippet / page</t>
        </is>
      </c>
      <c r="F330" t="inlineStr"/>
      <c r="G330" t="inlineStr"/>
      <c r="H330" t="inlineStr"/>
    </row>
    <row r="331">
      <c r="A331" t="inlineStr">
        <is>
          <t>PHS-0149</t>
        </is>
      </c>
      <c r="B331" t="inlineStr">
        <is>
          <t>https://www.mousesteps.com/2026/06/29/disneyland-paris-july-2026-pin-release-schedule-revealed/</t>
        </is>
      </c>
      <c r="C331" t="inlineStr">
        <is>
          <t>mousesteps.com</t>
        </is>
      </c>
      <c r="D331" t="inlineStr">
        <is>
          <t>secondary</t>
        </is>
      </c>
      <c r="E331" t="inlineStr">
        <is>
          <t>search snippet / page</t>
        </is>
      </c>
      <c r="F331" t="inlineStr"/>
      <c r="G331" t="inlineStr"/>
      <c r="H331" t="inlineStr"/>
    </row>
    <row r="332">
      <c r="A332" t="inlineStr">
        <is>
          <t>PHS-0150</t>
        </is>
      </c>
      <c r="B332" t="inlineStr">
        <is>
          <t>https://mypincentral.com/blog_post/pin-releases-disneyland-paris-disneyland-paris-flyer-for-july-2026</t>
        </is>
      </c>
      <c r="C332" t="inlineStr">
        <is>
          <t>mypincentral.com</t>
        </is>
      </c>
      <c r="D332" t="inlineStr">
        <is>
          <t>secondary</t>
        </is>
      </c>
      <c r="E332" t="inlineStr">
        <is>
          <t>search snippet / page</t>
        </is>
      </c>
      <c r="F332" t="inlineStr"/>
      <c r="G332" t="inlineStr"/>
      <c r="H332" t="inlineStr"/>
    </row>
    <row r="333">
      <c r="A333" t="inlineStr">
        <is>
          <t>PHS-0150</t>
        </is>
      </c>
      <c r="B333" t="inlineStr">
        <is>
          <t>https://pixiedustdlp.com/2026/06/29/pin-trading-disneyland-paris-july-2026/</t>
        </is>
      </c>
      <c r="C333" t="inlineStr">
        <is>
          <t>pixiedustdlp.com</t>
        </is>
      </c>
      <c r="D333" t="inlineStr">
        <is>
          <t>secondary</t>
        </is>
      </c>
      <c r="E333" t="inlineStr">
        <is>
          <t>search snippet / page</t>
        </is>
      </c>
      <c r="F333" t="inlineStr"/>
      <c r="G333" t="inlineStr"/>
      <c r="H333" t="inlineStr"/>
    </row>
    <row r="334">
      <c r="A334" t="inlineStr">
        <is>
          <t>PHS-0150</t>
        </is>
      </c>
      <c r="B334" t="inlineStr">
        <is>
          <t>https://www.mousesteps.com/2026/06/29/disneyland-paris-july-2026-pin-release-schedule-revealed/</t>
        </is>
      </c>
      <c r="C334" t="inlineStr">
        <is>
          <t>mousesteps.com</t>
        </is>
      </c>
      <c r="D334" t="inlineStr">
        <is>
          <t>secondary</t>
        </is>
      </c>
      <c r="E334" t="inlineStr">
        <is>
          <t>search snippet / page</t>
        </is>
      </c>
      <c r="F334" t="inlineStr"/>
      <c r="G334" t="inlineStr"/>
      <c r="H334" t="inlineStr"/>
    </row>
    <row r="335">
      <c r="A335" t="inlineStr">
        <is>
          <t>PHS-0151</t>
        </is>
      </c>
      <c r="B335" t="inlineStr">
        <is>
          <t>https://disneymouseketeer.com/disneyland-paris-august-2026-pins-preview-sheet-schedule/</t>
        </is>
      </c>
      <c r="C335" t="inlineStr">
        <is>
          <t>disneymouseketeer.com</t>
        </is>
      </c>
      <c r="D335" t="inlineStr">
        <is>
          <t>secondary</t>
        </is>
      </c>
      <c r="E335" t="inlineStr">
        <is>
          <t>search snippet / page</t>
        </is>
      </c>
      <c r="F335" t="inlineStr"/>
      <c r="G335" t="inlineStr"/>
      <c r="H335" t="inlineStr"/>
    </row>
    <row r="336">
      <c r="A336" t="inlineStr">
        <is>
          <t>PHS-0151</t>
        </is>
      </c>
      <c r="B336" t="inlineStr">
        <is>
          <t>https://pixiedustdlp.com/2026/07/29/pins-disneyland-paris-august-2026/</t>
        </is>
      </c>
      <c r="C336" t="inlineStr">
        <is>
          <t>pixiedustdlp.com</t>
        </is>
      </c>
      <c r="D336" t="inlineStr">
        <is>
          <t>secondary</t>
        </is>
      </c>
      <c r="E336" t="inlineStr">
        <is>
          <t>search snippet / page</t>
        </is>
      </c>
      <c r="F336" t="inlineStr"/>
      <c r="G336" t="inlineStr"/>
      <c r="H336" t="inlineStr"/>
    </row>
    <row r="337">
      <c r="A337" t="inlineStr">
        <is>
          <t>PHS-0151</t>
        </is>
      </c>
      <c r="B337" t="inlineStr">
        <is>
          <t>https://www.mousesteps.com/2026/07/29/disneyland-paris-august-2026-pins-revealed/</t>
        </is>
      </c>
      <c r="C337" t="inlineStr">
        <is>
          <t>mousesteps.com</t>
        </is>
      </c>
      <c r="D337" t="inlineStr">
        <is>
          <t>secondary</t>
        </is>
      </c>
      <c r="E337" t="inlineStr">
        <is>
          <t>search snippet / page</t>
        </is>
      </c>
      <c r="F337" t="inlineStr"/>
      <c r="G337" t="inlineStr"/>
      <c r="H337" t="inlineStr"/>
    </row>
    <row r="338">
      <c r="A338" t="inlineStr">
        <is>
          <t>PHS-0151</t>
        </is>
      </c>
      <c r="B338" t="inlineStr">
        <is>
          <t>https://x.com/DLPReport/status/2082391686701813959</t>
        </is>
      </c>
      <c r="C338" t="inlineStr">
        <is>
          <t>x.com</t>
        </is>
      </c>
      <c r="D338" t="inlineStr">
        <is>
          <t>secondary</t>
        </is>
      </c>
      <c r="E338" t="inlineStr">
        <is>
          <t>search snippet / page</t>
        </is>
      </c>
      <c r="F338" t="inlineStr"/>
      <c r="G338" t="inlineStr"/>
      <c r="H338" t="inlineStr"/>
    </row>
    <row r="339">
      <c r="A339" t="inlineStr">
        <is>
          <t>PHS-0152</t>
        </is>
      </c>
      <c r="B339" t="inlineStr">
        <is>
          <t>https://disneymouseketeer.com/disneyland-paris-august-2026-pins-preview-sheet-schedule/</t>
        </is>
      </c>
      <c r="C339" t="inlineStr">
        <is>
          <t>disneymouseketeer.com</t>
        </is>
      </c>
      <c r="D339" t="inlineStr">
        <is>
          <t>secondary</t>
        </is>
      </c>
      <c r="E339" t="inlineStr">
        <is>
          <t>search snippet / page</t>
        </is>
      </c>
      <c r="F339" t="inlineStr"/>
      <c r="G339" t="inlineStr"/>
      <c r="H339" t="inlineStr"/>
    </row>
    <row r="340">
      <c r="A340" t="inlineStr">
        <is>
          <t>PHS-0152</t>
        </is>
      </c>
      <c r="B340" t="inlineStr">
        <is>
          <t>https://pixiedustdlp.com/2026/07/29/pins-disneyland-paris-august-2026/</t>
        </is>
      </c>
      <c r="C340" t="inlineStr">
        <is>
          <t>pixiedustdlp.com</t>
        </is>
      </c>
      <c r="D340" t="inlineStr">
        <is>
          <t>secondary</t>
        </is>
      </c>
      <c r="E340" t="inlineStr">
        <is>
          <t>search snippet / page</t>
        </is>
      </c>
      <c r="F340" t="inlineStr"/>
      <c r="G340" t="inlineStr"/>
      <c r="H340" t="inlineStr"/>
    </row>
    <row r="341">
      <c r="A341" t="inlineStr">
        <is>
          <t>PHS-0152</t>
        </is>
      </c>
      <c r="B341" t="inlineStr">
        <is>
          <t>https://www.mousesteps.com/2026/07/29/disneyland-paris-august-2026-pins-revealed/</t>
        </is>
      </c>
      <c r="C341" t="inlineStr">
        <is>
          <t>mousesteps.com</t>
        </is>
      </c>
      <c r="D341" t="inlineStr">
        <is>
          <t>secondary</t>
        </is>
      </c>
      <c r="E341" t="inlineStr">
        <is>
          <t>search snippet / page</t>
        </is>
      </c>
      <c r="F341" t="inlineStr"/>
      <c r="G341" t="inlineStr"/>
      <c r="H341" t="inlineStr"/>
    </row>
    <row r="342">
      <c r="A342" t="inlineStr">
        <is>
          <t>PHS-0152</t>
        </is>
      </c>
      <c r="B342" t="inlineStr">
        <is>
          <t>https://x.com/DLPReport/status/2082391686701813959</t>
        </is>
      </c>
      <c r="C342" t="inlineStr">
        <is>
          <t>x.com</t>
        </is>
      </c>
      <c r="D342" t="inlineStr">
        <is>
          <t>secondary</t>
        </is>
      </c>
      <c r="E342" t="inlineStr">
        <is>
          <t>search snippet / page</t>
        </is>
      </c>
      <c r="F342" t="inlineStr"/>
      <c r="G342" t="inlineStr"/>
      <c r="H342" t="inlineStr"/>
    </row>
    <row r="343">
      <c r="A343" t="inlineStr">
        <is>
          <t>PHS-0153</t>
        </is>
      </c>
      <c r="B343" t="inlineStr">
        <is>
          <t>https://disneymouseketeer.com/disneyland-paris-august-2026-pins-preview-sheet-schedule/</t>
        </is>
      </c>
      <c r="C343" t="inlineStr">
        <is>
          <t>disneymouseketeer.com</t>
        </is>
      </c>
      <c r="D343" t="inlineStr">
        <is>
          <t>secondary</t>
        </is>
      </c>
      <c r="E343" t="inlineStr">
        <is>
          <t>search snippet / page</t>
        </is>
      </c>
      <c r="F343" t="inlineStr"/>
      <c r="G343" t="inlineStr"/>
      <c r="H343" t="inlineStr"/>
    </row>
    <row r="344">
      <c r="A344" t="inlineStr">
        <is>
          <t>PHS-0153</t>
        </is>
      </c>
      <c r="B344" t="inlineStr">
        <is>
          <t>https://pixiedustdlp.com/2026/07/29/pins-disneyland-paris-august-2026/</t>
        </is>
      </c>
      <c r="C344" t="inlineStr">
        <is>
          <t>pixiedustdlp.com</t>
        </is>
      </c>
      <c r="D344" t="inlineStr">
        <is>
          <t>secondary</t>
        </is>
      </c>
      <c r="E344" t="inlineStr">
        <is>
          <t>search snippet / page</t>
        </is>
      </c>
      <c r="F344" t="inlineStr"/>
      <c r="G344" t="inlineStr"/>
      <c r="H344" t="inlineStr"/>
    </row>
    <row r="345">
      <c r="A345" t="inlineStr">
        <is>
          <t>PHS-0153</t>
        </is>
      </c>
      <c r="B345" t="inlineStr">
        <is>
          <t>https://www.mousesteps.com/2026/07/29/disneyland-paris-august-2026-pins-revealed/</t>
        </is>
      </c>
      <c r="C345" t="inlineStr">
        <is>
          <t>mousesteps.com</t>
        </is>
      </c>
      <c r="D345" t="inlineStr">
        <is>
          <t>secondary</t>
        </is>
      </c>
      <c r="E345" t="inlineStr">
        <is>
          <t>search snippet / page</t>
        </is>
      </c>
      <c r="F345" t="inlineStr"/>
      <c r="G345" t="inlineStr"/>
      <c r="H345" t="inlineStr"/>
    </row>
    <row r="346">
      <c r="A346" t="inlineStr">
        <is>
          <t>PHS-0153</t>
        </is>
      </c>
      <c r="B346" t="inlineStr">
        <is>
          <t>https://x.com/DLPReport/status/2082391686701813959</t>
        </is>
      </c>
      <c r="C346" t="inlineStr">
        <is>
          <t>x.com</t>
        </is>
      </c>
      <c r="D346" t="inlineStr">
        <is>
          <t>secondary</t>
        </is>
      </c>
      <c r="E346" t="inlineStr">
        <is>
          <t>search snippet / page</t>
        </is>
      </c>
      <c r="F346" t="inlineStr"/>
      <c r="G346" t="inlineStr"/>
      <c r="H346" t="inlineStr"/>
    </row>
    <row r="347">
      <c r="A347" t="inlineStr">
        <is>
          <t>PHS-0154</t>
        </is>
      </c>
      <c r="B347" t="inlineStr">
        <is>
          <t>https://disneymouseketeer.com/disneyland-paris-august-2026-pins-preview-sheet-schedule/</t>
        </is>
      </c>
      <c r="C347" t="inlineStr">
        <is>
          <t>disneymouseketeer.com</t>
        </is>
      </c>
      <c r="D347" t="inlineStr">
        <is>
          <t>secondary</t>
        </is>
      </c>
      <c r="E347" t="inlineStr">
        <is>
          <t>search snippet / page</t>
        </is>
      </c>
      <c r="F347" t="inlineStr"/>
      <c r="G347" t="inlineStr"/>
      <c r="H347" t="inlineStr"/>
    </row>
    <row r="348">
      <c r="A348" t="inlineStr">
        <is>
          <t>PHS-0154</t>
        </is>
      </c>
      <c r="B348" t="inlineStr">
        <is>
          <t>https://pixiedustdlp.com/2026/07/29/pins-disneyland-paris-august-2026/</t>
        </is>
      </c>
      <c r="C348" t="inlineStr">
        <is>
          <t>pixiedustdlp.com</t>
        </is>
      </c>
      <c r="D348" t="inlineStr">
        <is>
          <t>secondary</t>
        </is>
      </c>
      <c r="E348" t="inlineStr">
        <is>
          <t>search snippet / page</t>
        </is>
      </c>
      <c r="F348" t="inlineStr"/>
      <c r="G348" t="inlineStr"/>
      <c r="H348" t="inlineStr"/>
    </row>
    <row r="349">
      <c r="A349" t="inlineStr">
        <is>
          <t>PHS-0154</t>
        </is>
      </c>
      <c r="B349" t="inlineStr">
        <is>
          <t>https://www.mousesteps.com/2026/07/29/disneyland-paris-august-2026-pins-revealed/</t>
        </is>
      </c>
      <c r="C349" t="inlineStr">
        <is>
          <t>mousesteps.com</t>
        </is>
      </c>
      <c r="D349" t="inlineStr">
        <is>
          <t>secondary</t>
        </is>
      </c>
      <c r="E349" t="inlineStr">
        <is>
          <t>search snippet / page</t>
        </is>
      </c>
      <c r="F349" t="inlineStr"/>
      <c r="G349" t="inlineStr"/>
      <c r="H349" t="inlineStr"/>
    </row>
    <row r="350">
      <c r="A350" t="inlineStr">
        <is>
          <t>PHS-0154</t>
        </is>
      </c>
      <c r="B350" t="inlineStr">
        <is>
          <t>https://x.com/DLPReport/status/2082391686701813959</t>
        </is>
      </c>
      <c r="C350" t="inlineStr">
        <is>
          <t>x.com</t>
        </is>
      </c>
      <c r="D350" t="inlineStr">
        <is>
          <t>secondary</t>
        </is>
      </c>
      <c r="E350" t="inlineStr">
        <is>
          <t>search snippet / page</t>
        </is>
      </c>
      <c r="F350" t="inlineStr"/>
      <c r="G350" t="inlineStr"/>
      <c r="H350" t="inlineStr"/>
    </row>
    <row r="351">
      <c r="A351" t="inlineStr">
        <is>
          <t>PHS-0155</t>
        </is>
      </c>
      <c r="B351" t="inlineStr">
        <is>
          <t>https://disneymouseketeer.com/disneyland-paris-august-2026-pins-preview-sheet-schedule/</t>
        </is>
      </c>
      <c r="C351" t="inlineStr">
        <is>
          <t>disneymouseketeer.com</t>
        </is>
      </c>
      <c r="D351" t="inlineStr">
        <is>
          <t>secondary</t>
        </is>
      </c>
      <c r="E351" t="inlineStr">
        <is>
          <t>search snippet / page</t>
        </is>
      </c>
      <c r="F351" t="inlineStr"/>
      <c r="G351" t="inlineStr"/>
      <c r="H351" t="inlineStr"/>
    </row>
    <row r="352">
      <c r="A352" t="inlineStr">
        <is>
          <t>PHS-0155</t>
        </is>
      </c>
      <c r="B352" t="inlineStr">
        <is>
          <t>https://disneypinsblog.com/disneyland-paris-august-2026-pin-releases/</t>
        </is>
      </c>
      <c r="C352" t="inlineStr">
        <is>
          <t>disneypinsblog.com</t>
        </is>
      </c>
      <c r="D352" t="inlineStr">
        <is>
          <t>secondary</t>
        </is>
      </c>
      <c r="E352" t="inlineStr">
        <is>
          <t>search snippet / page</t>
        </is>
      </c>
      <c r="F352" t="inlineStr"/>
      <c r="G352" t="inlineStr"/>
      <c r="H352" t="inlineStr"/>
    </row>
    <row r="353">
      <c r="A353" t="inlineStr">
        <is>
          <t>PHS-0155</t>
        </is>
      </c>
      <c r="B353" t="inlineStr">
        <is>
          <t>https://pixiedustdlp.com/2026/07/29/pins-disneyland-paris-august-2026/</t>
        </is>
      </c>
      <c r="C353" t="inlineStr">
        <is>
          <t>pixiedustdlp.com</t>
        </is>
      </c>
      <c r="D353" t="inlineStr">
        <is>
          <t>secondary</t>
        </is>
      </c>
      <c r="E353" t="inlineStr">
        <is>
          <t>search snippet / page</t>
        </is>
      </c>
      <c r="F353" t="inlineStr"/>
      <c r="G353" t="inlineStr"/>
      <c r="H353" t="inlineStr"/>
    </row>
    <row r="354">
      <c r="A354" t="inlineStr">
        <is>
          <t>PHS-0155</t>
        </is>
      </c>
      <c r="B354" t="inlineStr">
        <is>
          <t>https://www.mousesteps.com/2026/07/29/disneyland-paris-august-2026-pins-revealed/</t>
        </is>
      </c>
      <c r="C354" t="inlineStr">
        <is>
          <t>mousesteps.com</t>
        </is>
      </c>
      <c r="D354" t="inlineStr">
        <is>
          <t>secondary</t>
        </is>
      </c>
      <c r="E354" t="inlineStr">
        <is>
          <t>search snippet / page</t>
        </is>
      </c>
      <c r="F354" t="inlineStr"/>
      <c r="G354" t="inlineStr"/>
      <c r="H354" t="inlineStr"/>
    </row>
    <row r="355">
      <c r="A355" t="inlineStr">
        <is>
          <t>PHS-0155</t>
        </is>
      </c>
      <c r="B355" t="inlineStr">
        <is>
          <t>https://x.com/DLPReport/status/2082391686701813959</t>
        </is>
      </c>
      <c r="C355" t="inlineStr">
        <is>
          <t>x.com</t>
        </is>
      </c>
      <c r="D355" t="inlineStr">
        <is>
          <t>secondary</t>
        </is>
      </c>
      <c r="E355" t="inlineStr">
        <is>
          <t>search snippet / page</t>
        </is>
      </c>
      <c r="F355" t="inlineStr"/>
      <c r="G355" t="inlineStr"/>
      <c r="H355" t="inlineStr"/>
    </row>
    <row r="356">
      <c r="A356" t="inlineStr">
        <is>
          <t>PHS-0156</t>
        </is>
      </c>
      <c r="B356" t="inlineStr">
        <is>
          <t>https://disneypinsblog.com/disneyland-paris-september-2026-pin-releases/</t>
        </is>
      </c>
      <c r="C356" t="inlineStr">
        <is>
          <t>disneypinsblog.com</t>
        </is>
      </c>
      <c r="D356" t="inlineStr">
        <is>
          <t>secondary</t>
        </is>
      </c>
      <c r="E356" t="inlineStr">
        <is>
          <t>search snippet / page</t>
        </is>
      </c>
      <c r="F356" t="inlineStr"/>
      <c r="G356" t="inlineStr"/>
      <c r="H356" t="inlineStr"/>
    </row>
    <row r="357">
      <c r="A357" t="inlineStr">
        <is>
          <t>PHS-0157</t>
        </is>
      </c>
      <c r="B357" t="inlineStr">
        <is>
          <t>https://pixiedustdlp.com/2026/09/01/pin-trading-disneyland-paris-sept-2026/</t>
        </is>
      </c>
      <c r="C357" t="inlineStr">
        <is>
          <t>pixiedustdlp.com</t>
        </is>
      </c>
      <c r="D357" t="inlineStr">
        <is>
          <t>secondary</t>
        </is>
      </c>
      <c r="E357" t="inlineStr">
        <is>
          <t>search snippet / page</t>
        </is>
      </c>
      <c r="F357" t="inlineStr"/>
      <c r="G357" t="inlineStr"/>
      <c r="H357" t="inlineStr"/>
    </row>
    <row r="358">
      <c r="A358" t="inlineStr">
        <is>
          <t>PHS-0157</t>
        </is>
      </c>
      <c r="B358" t="inlineStr">
        <is>
          <t>https://www.mousesteps.com/2026/09/01/disneyland-paris-september-2026-pins-revealed/</t>
        </is>
      </c>
      <c r="C358" t="inlineStr">
        <is>
          <t>mousesteps.com</t>
        </is>
      </c>
      <c r="D358" t="inlineStr">
        <is>
          <t>secondary</t>
        </is>
      </c>
      <c r="E358" t="inlineStr">
        <is>
          <t>search snippet / page</t>
        </is>
      </c>
      <c r="F358" t="inlineStr"/>
      <c r="G358" t="inlineStr"/>
      <c r="H358" t="inlineStr"/>
    </row>
    <row r="359">
      <c r="A359" t="inlineStr">
        <is>
          <t>PHS-0158</t>
        </is>
      </c>
      <c r="B359" t="inlineStr">
        <is>
          <t>https://pixiedustdlp.com/2026/09/01/pin-trading-disneyland-paris-sept-2026/</t>
        </is>
      </c>
      <c r="C359" t="inlineStr">
        <is>
          <t>pixiedustdlp.com</t>
        </is>
      </c>
      <c r="D359" t="inlineStr">
        <is>
          <t>secondary</t>
        </is>
      </c>
      <c r="E359" t="inlineStr">
        <is>
          <t>search snippet / page</t>
        </is>
      </c>
      <c r="F359" t="inlineStr"/>
      <c r="G359" t="inlineStr"/>
      <c r="H359" t="inlineStr"/>
    </row>
    <row r="360">
      <c r="A360" t="inlineStr">
        <is>
          <t>PHS-0158</t>
        </is>
      </c>
      <c r="B360" t="inlineStr">
        <is>
          <t>https://www.mousesteps.com/2026/09/01/disneyland-paris-september-2026-pins-revealed/</t>
        </is>
      </c>
      <c r="C360" t="inlineStr">
        <is>
          <t>mousesteps.com</t>
        </is>
      </c>
      <c r="D360" t="inlineStr">
        <is>
          <t>secondary</t>
        </is>
      </c>
      <c r="E360" t="inlineStr">
        <is>
          <t>search snippet / page</t>
        </is>
      </c>
      <c r="F360" t="inlineStr"/>
      <c r="G360" t="inlineStr"/>
      <c r="H360" t="inlineStr"/>
    </row>
    <row r="361">
      <c r="A361" t="inlineStr">
        <is>
          <t>PHS-0159</t>
        </is>
      </c>
      <c r="B361" t="inlineStr">
        <is>
          <t>https://pixiedustdlp.com/2026/09/01/pin-trading-disneyland-paris-sept-2026/</t>
        </is>
      </c>
      <c r="C361" t="inlineStr">
        <is>
          <t>pixiedustdlp.com</t>
        </is>
      </c>
      <c r="D361" t="inlineStr">
        <is>
          <t>secondary</t>
        </is>
      </c>
      <c r="E361" t="inlineStr">
        <is>
          <t>search snippet / page</t>
        </is>
      </c>
      <c r="F361" t="inlineStr"/>
      <c r="G361" t="inlineStr"/>
      <c r="H361" t="inlineStr"/>
    </row>
    <row r="362">
      <c r="A362" t="inlineStr">
        <is>
          <t>PHS-0159</t>
        </is>
      </c>
      <c r="B362" t="inlineStr">
        <is>
          <t>https://www.mousesteps.com/2026/09/01/disneyland-paris-september-2026-pins-revealed/</t>
        </is>
      </c>
      <c r="C362" t="inlineStr">
        <is>
          <t>mousesteps.com</t>
        </is>
      </c>
      <c r="D362" t="inlineStr">
        <is>
          <t>secondary</t>
        </is>
      </c>
      <c r="E362" t="inlineStr">
        <is>
          <t>search snippet / page</t>
        </is>
      </c>
      <c r="F362" t="inlineStr"/>
      <c r="G362" t="inlineStr"/>
      <c r="H362" t="inlineStr"/>
    </row>
    <row r="363">
      <c r="A363" t="inlineStr">
        <is>
          <t>PHS-0160</t>
        </is>
      </c>
      <c r="B363" t="inlineStr">
        <is>
          <t>https://pixiedustdlp.com/2026/09/01/pin-trading-disneyland-paris-sept-2026/</t>
        </is>
      </c>
      <c r="C363" t="inlineStr">
        <is>
          <t>pixiedustdlp.com</t>
        </is>
      </c>
      <c r="D363" t="inlineStr">
        <is>
          <t>secondary</t>
        </is>
      </c>
      <c r="E363" t="inlineStr">
        <is>
          <t>search snippet / page</t>
        </is>
      </c>
      <c r="F363" t="inlineStr"/>
      <c r="G363" t="inlineStr"/>
      <c r="H363" t="inlineStr"/>
    </row>
    <row r="364">
      <c r="A364" t="inlineStr">
        <is>
          <t>PHS-0160</t>
        </is>
      </c>
      <c r="B364" t="inlineStr">
        <is>
          <t>https://www.mousesteps.com/2026/09/01/disneyland-paris-september-2026-pins-revealed/</t>
        </is>
      </c>
      <c r="C364" t="inlineStr">
        <is>
          <t>mousesteps.com</t>
        </is>
      </c>
      <c r="D364" t="inlineStr">
        <is>
          <t>secondary</t>
        </is>
      </c>
      <c r="E364" t="inlineStr">
        <is>
          <t>search snippet / page</t>
        </is>
      </c>
      <c r="F364" t="inlineStr"/>
      <c r="G364" t="inlineStr"/>
      <c r="H364" t="inlineStr"/>
    </row>
    <row r="365">
      <c r="A365" t="inlineStr">
        <is>
          <t>PHS-0160</t>
        </is>
      </c>
      <c r="B365" t="inlineStr">
        <is>
          <t>https://x.com/DLPReport/status/2094697481250525210</t>
        </is>
      </c>
      <c r="C365" t="inlineStr">
        <is>
          <t>x.com</t>
        </is>
      </c>
      <c r="D365" t="inlineStr">
        <is>
          <t>secondary</t>
        </is>
      </c>
      <c r="E365" t="inlineStr">
        <is>
          <t>search snippet / page</t>
        </is>
      </c>
      <c r="F365" t="inlineStr"/>
      <c r="G365" t="inlineStr"/>
      <c r="H365" t="inlineStr"/>
    </row>
    <row r="366">
      <c r="A366" t="inlineStr">
        <is>
          <t>PHS-0161</t>
        </is>
      </c>
      <c r="B366" t="inlineStr">
        <is>
          <t>https://disneybymark.com/2026/09/pin-trading-nights-return-to-disneyland-paris-with-an-enchanted-theme-later-this-month/</t>
        </is>
      </c>
      <c r="C366" t="inlineStr">
        <is>
          <t>disneybymark.com</t>
        </is>
      </c>
      <c r="D366" t="inlineStr">
        <is>
          <t>secondary</t>
        </is>
      </c>
      <c r="E366" t="inlineStr">
        <is>
          <t>search snippet / page</t>
        </is>
      </c>
      <c r="F366" t="inlineStr"/>
      <c r="G366" t="inlineStr"/>
      <c r="H366" t="inlineStr"/>
    </row>
    <row r="367">
      <c r="A367" t="inlineStr">
        <is>
          <t>PHS-0161</t>
        </is>
      </c>
      <c r="B367" t="inlineStr">
        <is>
          <t>https://pixiedustdlp.com/2026/09/01/pin-trading-disneyland-paris-sept-2026/</t>
        </is>
      </c>
      <c r="C367" t="inlineStr">
        <is>
          <t>pixiedustdlp.com</t>
        </is>
      </c>
      <c r="D367" t="inlineStr">
        <is>
          <t>secondary</t>
        </is>
      </c>
      <c r="E367" t="inlineStr">
        <is>
          <t>search snippet / page</t>
        </is>
      </c>
      <c r="F367" t="inlineStr"/>
      <c r="G367" t="inlineStr"/>
      <c r="H367" t="inlineStr"/>
    </row>
    <row r="368">
      <c r="A368" t="inlineStr">
        <is>
          <t>PHS-0161</t>
        </is>
      </c>
      <c r="B368" t="inlineStr">
        <is>
          <t>https://www.laughingplace.com/disney-parks/dlp-pin-trading-nights-sept-2026/</t>
        </is>
      </c>
      <c r="C368" t="inlineStr">
        <is>
          <t>laughingplace.com</t>
        </is>
      </c>
      <c r="D368" t="inlineStr">
        <is>
          <t>secondary</t>
        </is>
      </c>
      <c r="E368" t="inlineStr">
        <is>
          <t>search snippet / page</t>
        </is>
      </c>
      <c r="F368" t="inlineStr"/>
      <c r="G368" t="inlineStr"/>
      <c r="H368" t="inlineStr"/>
    </row>
    <row r="369">
      <c r="A369" t="inlineStr">
        <is>
          <t>PHS-0161</t>
        </is>
      </c>
      <c r="B369" t="inlineStr">
        <is>
          <t>https://www.mousesteps.com/2026/09/01/disneyland-paris-pin-trading-night-returns-on-september-19th/</t>
        </is>
      </c>
      <c r="C369" t="inlineStr">
        <is>
          <t>mousesteps.com</t>
        </is>
      </c>
      <c r="D369" t="inlineStr">
        <is>
          <t>secondary</t>
        </is>
      </c>
      <c r="E369" t="inlineStr">
        <is>
          <t>search snippet / page</t>
        </is>
      </c>
      <c r="F369" t="inlineStr"/>
      <c r="G369" t="inlineStr"/>
      <c r="H369" t="inlineStr"/>
    </row>
    <row r="370">
      <c r="A370" t="inlineStr">
        <is>
          <t>PHS-0161</t>
        </is>
      </c>
      <c r="B370" t="inlineStr">
        <is>
          <t>https://x.com/DLPReport/status/2094697481250525210</t>
        </is>
      </c>
      <c r="C370" t="inlineStr">
        <is>
          <t>x.com</t>
        </is>
      </c>
      <c r="D370" t="inlineStr">
        <is>
          <t>secondary</t>
        </is>
      </c>
      <c r="E370" t="inlineStr">
        <is>
          <t>search snippet / page</t>
        </is>
      </c>
      <c r="F370" t="inlineStr"/>
      <c r="G370" t="inlineStr"/>
      <c r="H370" t="inlineStr"/>
    </row>
    <row r="371">
      <c r="A371" t="inlineStr">
        <is>
          <t>PHS-0162</t>
        </is>
      </c>
      <c r="B371" t="inlineStr">
        <is>
          <t>https://pixiedustdlp.com/2026/09/01/pin-trading-disneyland-paris-sept-2026/</t>
        </is>
      </c>
      <c r="C371" t="inlineStr">
        <is>
          <t>pixiedustdlp.com</t>
        </is>
      </c>
      <c r="D371" t="inlineStr">
        <is>
          <t>secondary</t>
        </is>
      </c>
      <c r="E371" t="inlineStr">
        <is>
          <t>search snippet / page</t>
        </is>
      </c>
      <c r="F371" t="inlineStr"/>
      <c r="G371" t="inlineStr"/>
      <c r="H371" t="inlineStr"/>
    </row>
    <row r="372">
      <c r="A372" t="inlineStr">
        <is>
          <t>PHS-0162</t>
        </is>
      </c>
      <c r="B372" t="inlineStr">
        <is>
          <t>https://www.mousesteps.com/2026/09/01/disneyland-paris-september-2026-pins-revealed/</t>
        </is>
      </c>
      <c r="C372" t="inlineStr">
        <is>
          <t>mousesteps.com</t>
        </is>
      </c>
      <c r="D372" t="inlineStr">
        <is>
          <t>secondary</t>
        </is>
      </c>
      <c r="E372" t="inlineStr">
        <is>
          <t>search snippet / page</t>
        </is>
      </c>
      <c r="F372" t="inlineStr"/>
      <c r="G372" t="inlineStr"/>
      <c r="H372" t="inlineStr"/>
    </row>
    <row r="373">
      <c r="A373" t="inlineStr">
        <is>
          <t>PHS-0162</t>
        </is>
      </c>
      <c r="B373" t="inlineStr">
        <is>
          <t>https://x.com/DLPReport/status/2094697481250525210</t>
        </is>
      </c>
      <c r="C373" t="inlineStr">
        <is>
          <t>x.com</t>
        </is>
      </c>
      <c r="D373" t="inlineStr">
        <is>
          <t>secondary</t>
        </is>
      </c>
      <c r="E373" t="inlineStr">
        <is>
          <t>search snippet / page</t>
        </is>
      </c>
      <c r="F373" t="inlineStr"/>
      <c r="G373" t="inlineStr"/>
      <c r="H373" t="inlineStr"/>
    </row>
    <row r="374">
      <c r="A374" t="inlineStr">
        <is>
          <t>PHS-0163</t>
        </is>
      </c>
      <c r="B374" t="inlineStr">
        <is>
          <t>https://pixiedustdlp.com/2026/09/01/pin-trading-disneyland-paris-sept-2026/</t>
        </is>
      </c>
      <c r="C374" t="inlineStr">
        <is>
          <t>pixiedustdlp.com</t>
        </is>
      </c>
      <c r="D374" t="inlineStr">
        <is>
          <t>secondary</t>
        </is>
      </c>
      <c r="E374" t="inlineStr">
        <is>
          <t>search snippet / page</t>
        </is>
      </c>
      <c r="F374" t="inlineStr"/>
      <c r="G374" t="inlineStr"/>
      <c r="H374" t="inlineStr"/>
    </row>
    <row r="375">
      <c r="A375" t="inlineStr">
        <is>
          <t>PHS-0163</t>
        </is>
      </c>
      <c r="B375" t="inlineStr">
        <is>
          <t>https://www.mousesteps.com/2026/09/01/disneyland-paris-september-2026-pins-revealed/</t>
        </is>
      </c>
      <c r="C375" t="inlineStr">
        <is>
          <t>mousesteps.com</t>
        </is>
      </c>
      <c r="D375" t="inlineStr">
        <is>
          <t>secondary</t>
        </is>
      </c>
      <c r="E375" t="inlineStr">
        <is>
          <t>search snippet / page</t>
        </is>
      </c>
      <c r="F375" t="inlineStr"/>
      <c r="G375" t="inlineStr"/>
      <c r="H375" t="inlineStr"/>
    </row>
    <row r="376">
      <c r="A376" t="inlineStr">
        <is>
          <t>PHS-0164</t>
        </is>
      </c>
      <c r="B376" t="inlineStr">
        <is>
          <t>https://pixiedustdlp.com/2026/09/30/pin-trading-disneyland-paris-oct-2026/</t>
        </is>
      </c>
      <c r="C376" t="inlineStr">
        <is>
          <t>pixiedustdlp.com</t>
        </is>
      </c>
      <c r="D376" t="inlineStr">
        <is>
          <t>secondary</t>
        </is>
      </c>
      <c r="E376" t="inlineStr">
        <is>
          <t>search snippet / page</t>
        </is>
      </c>
      <c r="F376" t="inlineStr"/>
      <c r="G376" t="inlineStr"/>
      <c r="H376" t="inlineStr"/>
    </row>
    <row r="377">
      <c r="A377" t="inlineStr">
        <is>
          <t>PHS-0165</t>
        </is>
      </c>
      <c r="B377" t="inlineStr">
        <is>
          <t>https://pixiedustdlp.com/2026/09/30/pin-trading-disneyland-paris-oct-2026/</t>
        </is>
      </c>
      <c r="C377" t="inlineStr">
        <is>
          <t>pixiedustdlp.com</t>
        </is>
      </c>
      <c r="D377" t="inlineStr">
        <is>
          <t>secondary</t>
        </is>
      </c>
      <c r="E377" t="inlineStr">
        <is>
          <t>search snippet / page</t>
        </is>
      </c>
      <c r="F377" t="inlineStr"/>
      <c r="G377" t="inlineStr"/>
      <c r="H377" t="inlineStr"/>
    </row>
    <row r="378">
      <c r="A378" t="inlineStr">
        <is>
          <t>PHS-0166</t>
        </is>
      </c>
      <c r="B378" t="inlineStr">
        <is>
          <t>https://pixiedustdlp.com/2026/09/30/pin-trading-disneyland-paris-oct-2026/</t>
        </is>
      </c>
      <c r="C378" t="inlineStr">
        <is>
          <t>pixiedustdlp.com</t>
        </is>
      </c>
      <c r="D378" t="inlineStr">
        <is>
          <t>secondary</t>
        </is>
      </c>
      <c r="E378" t="inlineStr">
        <is>
          <t>search snippet / page</t>
        </is>
      </c>
      <c r="F378" t="inlineStr"/>
      <c r="G378" t="inlineStr"/>
      <c r="H378" t="inlineStr"/>
    </row>
    <row r="379">
      <c r="A379" t="inlineStr">
        <is>
          <t>PHS-0167</t>
        </is>
      </c>
      <c r="B379" t="inlineStr">
        <is>
          <t>https://pixiedustdlp.com/2026/09/30/pin-trading-disneyland-paris-oct-2026/</t>
        </is>
      </c>
      <c r="C379" t="inlineStr">
        <is>
          <t>pixiedustdlp.com</t>
        </is>
      </c>
      <c r="D379" t="inlineStr">
        <is>
          <t>secondary</t>
        </is>
      </c>
      <c r="E379" t="inlineStr">
        <is>
          <t>search snippet / page</t>
        </is>
      </c>
      <c r="F379" t="inlineStr"/>
      <c r="G379" t="inlineStr"/>
      <c r="H379" t="inlineStr"/>
    </row>
    <row r="380">
      <c r="A380" t="inlineStr">
        <is>
          <t>PHS-0168</t>
        </is>
      </c>
      <c r="B380" t="inlineStr">
        <is>
          <t>https://pixiedustdlp.com/2026/09/30/pin-trading-disneyland-paris-oct-2026/</t>
        </is>
      </c>
      <c r="C380" t="inlineStr">
        <is>
          <t>pixiedustdlp.com</t>
        </is>
      </c>
      <c r="D380" t="inlineStr">
        <is>
          <t>secondary</t>
        </is>
      </c>
      <c r="E380" t="inlineStr">
        <is>
          <t>search snippet / page</t>
        </is>
      </c>
      <c r="F380" t="inlineStr"/>
      <c r="G380" t="inlineStr"/>
      <c r="H380" t="inlineStr"/>
    </row>
    <row r="381">
      <c r="A381" t="inlineStr">
        <is>
          <t>PHS-0169</t>
        </is>
      </c>
      <c r="B381" t="inlineStr">
        <is>
          <t>https://pixiedustdlp.com/2026/09/30/pin-trading-disneyland-paris-oct-2026/</t>
        </is>
      </c>
      <c r="C381" t="inlineStr">
        <is>
          <t>pixiedustdlp.com</t>
        </is>
      </c>
      <c r="D381" t="inlineStr">
        <is>
          <t>secondary</t>
        </is>
      </c>
      <c r="E381" t="inlineStr">
        <is>
          <t>search snippet / page</t>
        </is>
      </c>
      <c r="F381" t="inlineStr"/>
      <c r="G381" t="inlineStr"/>
      <c r="H381" t="inlineStr"/>
    </row>
    <row r="382">
      <c r="A382" t="inlineStr">
        <is>
          <t>PHS-0170</t>
        </is>
      </c>
      <c r="B382" t="inlineStr">
        <is>
          <t>https://pixiedustdlp.com/2026/09/30/pin-trading-disneyland-paris-oct-2026/</t>
        </is>
      </c>
      <c r="C382" t="inlineStr">
        <is>
          <t>pixiedustdlp.com</t>
        </is>
      </c>
      <c r="D382" t="inlineStr">
        <is>
          <t>secondary</t>
        </is>
      </c>
      <c r="E382" t="inlineStr">
        <is>
          <t>search snippet / page</t>
        </is>
      </c>
      <c r="F382" t="inlineStr"/>
      <c r="G382" t="inlineStr"/>
      <c r="H382" t="inlineStr"/>
    </row>
    <row r="383">
      <c r="A383" t="inlineStr">
        <is>
          <t>PHS-0171</t>
        </is>
      </c>
      <c r="B383" t="inlineStr">
        <is>
          <t>https://disneypinsblog.com/blogs/news/new-disney-pins-february-2023-week-1</t>
        </is>
      </c>
      <c r="C383" t="inlineStr">
        <is>
          <t>disneypinsblog.com</t>
        </is>
      </c>
      <c r="D383" t="inlineStr">
        <is>
          <t>secondary</t>
        </is>
      </c>
      <c r="E383" t="inlineStr">
        <is>
          <t>search snippet / page</t>
        </is>
      </c>
      <c r="F383" t="inlineStr"/>
      <c r="G383" t="inlineStr"/>
      <c r="H383" t="inlineStr"/>
    </row>
    <row r="384">
      <c r="A384" t="inlineStr">
        <is>
          <t>PHS-0171</t>
        </is>
      </c>
      <c r="B384" t="inlineStr">
        <is>
          <t>https://disneypinsblog.com/complete-best-buds-pin-collection/</t>
        </is>
      </c>
      <c r="C384" t="inlineStr">
        <is>
          <t>disneypinsblog.com</t>
        </is>
      </c>
      <c r="D384" t="inlineStr">
        <is>
          <t>secondary</t>
        </is>
      </c>
      <c r="E384" t="inlineStr">
        <is>
          <t>search snippet / page</t>
        </is>
      </c>
      <c r="F384" t="inlineStr"/>
      <c r="G384" t="inlineStr"/>
      <c r="H384" t="inlineStr"/>
    </row>
    <row r="385">
      <c r="A385" t="inlineStr">
        <is>
          <t>PHS-0171</t>
        </is>
      </c>
      <c r="B385" t="inlineStr">
        <is>
          <t>https://disneypinsblog.com/new-disney-pins-january-2023-week-2/</t>
        </is>
      </c>
      <c r="C385" t="inlineStr">
        <is>
          <t>disneypinsblog.com</t>
        </is>
      </c>
      <c r="D385" t="inlineStr">
        <is>
          <t>secondary</t>
        </is>
      </c>
      <c r="E385" t="inlineStr">
        <is>
          <t>search snippet / page</t>
        </is>
      </c>
      <c r="F385" t="inlineStr"/>
      <c r="G385" t="inlineStr"/>
      <c r="H385" t="inlineStr"/>
    </row>
    <row r="386">
      <c r="A386" t="inlineStr">
        <is>
          <t>PHS-0171</t>
        </is>
      </c>
      <c r="B386" t="inlineStr">
        <is>
          <t>https://disneypinsblog.com/new-disney-pins-march-2023-week-1/</t>
        </is>
      </c>
      <c r="C386" t="inlineStr">
        <is>
          <t>disneypinsblog.com</t>
        </is>
      </c>
      <c r="D386" t="inlineStr">
        <is>
          <t>secondary</t>
        </is>
      </c>
      <c r="E386" t="inlineStr">
        <is>
          <t>search snippet / page</t>
        </is>
      </c>
      <c r="F386" t="inlineStr"/>
      <c r="G386" t="inlineStr"/>
      <c r="H386" t="inlineStr"/>
    </row>
    <row r="387">
      <c r="A387" t="inlineStr">
        <is>
          <t>PHS-0171</t>
        </is>
      </c>
      <c r="B387" t="inlineStr">
        <is>
          <t>https://disneypinventory.com/view_item.php?itemID=26543</t>
        </is>
      </c>
      <c r="C387" t="inlineStr">
        <is>
          <t>disneypinventory.com</t>
        </is>
      </c>
      <c r="D387" t="inlineStr">
        <is>
          <t>secondary</t>
        </is>
      </c>
      <c r="E387" t="inlineStr">
        <is>
          <t>search snippet / page</t>
        </is>
      </c>
      <c r="F387" t="inlineStr"/>
      <c r="G387" t="inlineStr"/>
      <c r="H387" t="inlineStr"/>
    </row>
    <row r="388">
      <c r="A388" t="inlineStr">
        <is>
          <t>PHS-0171</t>
        </is>
      </c>
      <c r="B388" t="inlineStr">
        <is>
          <t>https://disneypinventory.com/view_item.php?itemID=26692</t>
        </is>
      </c>
      <c r="C388" t="inlineStr">
        <is>
          <t>disneypinventory.com</t>
        </is>
      </c>
      <c r="D388" t="inlineStr">
        <is>
          <t>secondary</t>
        </is>
      </c>
      <c r="E388" t="inlineStr">
        <is>
          <t>search snippet / page</t>
        </is>
      </c>
      <c r="F388" t="inlineStr"/>
      <c r="G388" t="inlineStr"/>
      <c r="H388" t="inlineStr"/>
    </row>
    <row r="389">
      <c r="A389" t="inlineStr">
        <is>
          <t>PHS-0172</t>
        </is>
      </c>
      <c r="B389" t="inlineStr">
        <is>
          <t>https://disneypinsblog.com/new-disney-pins-july-2023-week-1/</t>
        </is>
      </c>
      <c r="C389" t="inlineStr">
        <is>
          <t>disneypinsblog.com</t>
        </is>
      </c>
      <c r="D389" t="inlineStr">
        <is>
          <t>secondary</t>
        </is>
      </c>
      <c r="E389" t="inlineStr">
        <is>
          <t>search snippet / page</t>
        </is>
      </c>
      <c r="F389" t="inlineStr"/>
      <c r="G389" t="inlineStr"/>
      <c r="H389" t="inlineStr"/>
    </row>
    <row r="390">
      <c r="A390" t="inlineStr">
        <is>
          <t>PHS-0172</t>
        </is>
      </c>
      <c r="B390" t="inlineStr">
        <is>
          <t>https://disneypinsblog.com/new-disney-pins-may-2023-week-1/</t>
        </is>
      </c>
      <c r="C390" t="inlineStr">
        <is>
          <t>disneypinsblog.com</t>
        </is>
      </c>
      <c r="D390" t="inlineStr">
        <is>
          <t>secondary</t>
        </is>
      </c>
      <c r="E390" t="inlineStr">
        <is>
          <t>search snippet / page</t>
        </is>
      </c>
      <c r="F390" t="inlineStr"/>
      <c r="G390" t="inlineStr"/>
      <c r="H390" t="inlineStr"/>
    </row>
    <row r="391">
      <c r="A391" t="inlineStr">
        <is>
          <t>PHS-0172</t>
        </is>
      </c>
      <c r="B391" t="inlineStr">
        <is>
          <t>https://disneypinsblog.com/new-disney-pins-october-2023-week-1/</t>
        </is>
      </c>
      <c r="C391" t="inlineStr">
        <is>
          <t>disneypinsblog.com</t>
        </is>
      </c>
      <c r="D391" t="inlineStr">
        <is>
          <t>secondary</t>
        </is>
      </c>
      <c r="E391" t="inlineStr">
        <is>
          <t>search snippet / page</t>
        </is>
      </c>
      <c r="F391" t="inlineStr"/>
      <c r="G391" t="inlineStr"/>
      <c r="H391" t="inlineStr"/>
    </row>
    <row r="392">
      <c r="A392" t="inlineStr">
        <is>
          <t>PHS-0172</t>
        </is>
      </c>
      <c r="B392" t="inlineStr">
        <is>
          <t>https://disneypinventory.com/view_item.php?itemID=27041</t>
        </is>
      </c>
      <c r="C392" t="inlineStr">
        <is>
          <t>disneypinventory.com</t>
        </is>
      </c>
      <c r="D392" t="inlineStr">
        <is>
          <t>secondary</t>
        </is>
      </c>
      <c r="E392" t="inlineStr">
        <is>
          <t>search snippet / page</t>
        </is>
      </c>
      <c r="F392" t="inlineStr"/>
      <c r="G392" t="inlineStr"/>
      <c r="H392" t="inlineStr"/>
    </row>
    <row r="393">
      <c r="A393" t="inlineStr">
        <is>
          <t>PHS-0172</t>
        </is>
      </c>
      <c r="B393" t="inlineStr">
        <is>
          <t>https://disneypinventory.com/view_item.php?itemID=27609</t>
        </is>
      </c>
      <c r="C393" t="inlineStr">
        <is>
          <t>disneypinventory.com</t>
        </is>
      </c>
      <c r="D393" t="inlineStr">
        <is>
          <t>secondary</t>
        </is>
      </c>
      <c r="E393" t="inlineStr">
        <is>
          <t>search snippet / page</t>
        </is>
      </c>
      <c r="F393" t="inlineStr"/>
      <c r="G393" t="inlineStr"/>
      <c r="H393" t="inlineStr"/>
    </row>
    <row r="394">
      <c r="A394" t="inlineStr">
        <is>
          <t>PHS-0172</t>
        </is>
      </c>
      <c r="B394" t="inlineStr">
        <is>
          <t>https://wdwnt.com/2023/01/disney-eras-spider-man-figpin-pins-disneyland/</t>
        </is>
      </c>
      <c r="C394" t="inlineStr">
        <is>
          <t>wdwnt.com</t>
        </is>
      </c>
      <c r="D394" t="inlineStr">
        <is>
          <t>secondary</t>
        </is>
      </c>
      <c r="E394" t="inlineStr">
        <is>
          <t>search snippet / page</t>
        </is>
      </c>
      <c r="F394" t="inlineStr"/>
      <c r="G394" t="inlineStr"/>
      <c r="H394" t="inlineStr"/>
    </row>
    <row r="395">
      <c r="A395" t="inlineStr">
        <is>
          <t>PHS-0173</t>
        </is>
      </c>
      <c r="B395" t="inlineStr">
        <is>
          <t>https://disneypinforum.com/threads/2024-pin-discussion-pin-releases-speech-balloon.77622/</t>
        </is>
      </c>
      <c r="C395" t="inlineStr">
        <is>
          <t>disneypinforum.com</t>
        </is>
      </c>
      <c r="D395" t="inlineStr">
        <is>
          <t>secondary</t>
        </is>
      </c>
      <c r="E395" t="inlineStr">
        <is>
          <t>search snippet / page</t>
        </is>
      </c>
      <c r="F395" t="inlineStr"/>
      <c r="G395" t="inlineStr"/>
      <c r="H395" t="inlineStr"/>
    </row>
    <row r="396">
      <c r="A396" t="inlineStr">
        <is>
          <t>PHS-0173</t>
        </is>
      </c>
      <c r="B396" t="inlineStr">
        <is>
          <t>https://disneypinforum.com/threads/2024-pin-discussion-pin-releases-speech-balloon.77622/page-15</t>
        </is>
      </c>
      <c r="C396" t="inlineStr">
        <is>
          <t>disneypinforum.com</t>
        </is>
      </c>
      <c r="D396" t="inlineStr">
        <is>
          <t>secondary</t>
        </is>
      </c>
      <c r="E396" t="inlineStr">
        <is>
          <t>search snippet / page</t>
        </is>
      </c>
      <c r="F396" t="inlineStr"/>
      <c r="G396" t="inlineStr"/>
      <c r="H396" t="inlineStr"/>
    </row>
    <row r="397">
      <c r="A397" t="inlineStr">
        <is>
          <t>PHS-0173</t>
        </is>
      </c>
      <c r="B397" t="inlineStr">
        <is>
          <t>https://disneypinsblog.com/blogs/news/new-disney-pins-february-2024-week-1</t>
        </is>
      </c>
      <c r="C397" t="inlineStr">
        <is>
          <t>disneypinsblog.com</t>
        </is>
      </c>
      <c r="D397" t="inlineStr">
        <is>
          <t>secondary</t>
        </is>
      </c>
      <c r="E397" t="inlineStr">
        <is>
          <t>search snippet / page</t>
        </is>
      </c>
      <c r="F397" t="inlineStr"/>
      <c r="G397" t="inlineStr"/>
      <c r="H397" t="inlineStr"/>
    </row>
    <row r="398">
      <c r="A398" t="inlineStr">
        <is>
          <t>PHS-0173</t>
        </is>
      </c>
      <c r="B398" t="inlineStr">
        <is>
          <t>https://disneypinsblog.com/complete-this-is-my-home-pin-collection/</t>
        </is>
      </c>
      <c r="C398" t="inlineStr">
        <is>
          <t>disneypinsblog.com</t>
        </is>
      </c>
      <c r="D398" t="inlineStr">
        <is>
          <t>secondary</t>
        </is>
      </c>
      <c r="E398" t="inlineStr">
        <is>
          <t>search snippet / page</t>
        </is>
      </c>
      <c r="F398" t="inlineStr"/>
      <c r="G398" t="inlineStr"/>
      <c r="H398" t="inlineStr"/>
    </row>
    <row r="399">
      <c r="A399" t="inlineStr">
        <is>
          <t>PHS-0173</t>
        </is>
      </c>
      <c r="B399" t="inlineStr">
        <is>
          <t>https://disneypinsblog.com/new-disney-pins-march-2024-week-1/</t>
        </is>
      </c>
      <c r="C399" t="inlineStr">
        <is>
          <t>disneypinsblog.com</t>
        </is>
      </c>
      <c r="D399" t="inlineStr">
        <is>
          <t>secondary</t>
        </is>
      </c>
      <c r="E399" t="inlineStr">
        <is>
          <t>search snippet / page</t>
        </is>
      </c>
      <c r="F399" t="inlineStr"/>
      <c r="G399" t="inlineStr"/>
      <c r="H399" t="inlineStr"/>
    </row>
    <row r="400">
      <c r="A400" t="inlineStr">
        <is>
          <t>PHS-0173</t>
        </is>
      </c>
      <c r="B400" t="inlineStr">
        <is>
          <t>https://www.disneypinforum.com/threads/2024-pin-discussion-pin-releases-speech-balloon.77622/page-24</t>
        </is>
      </c>
      <c r="C400" t="inlineStr">
        <is>
          <t>disneypinforum.com</t>
        </is>
      </c>
      <c r="D400" t="inlineStr">
        <is>
          <t>secondary</t>
        </is>
      </c>
      <c r="E400" t="inlineStr">
        <is>
          <t>search snippet / page</t>
        </is>
      </c>
      <c r="F400" t="inlineStr"/>
      <c r="G400" t="inlineStr"/>
      <c r="H400" t="inlineStr"/>
    </row>
    <row r="401">
      <c r="A401" t="inlineStr">
        <is>
          <t>PHS-0174</t>
        </is>
      </c>
      <c r="B401" t="inlineStr">
        <is>
          <t>https://disneymouseketeer.com/disneyland-70th-anniversary-vault-collection-pin-set-1/</t>
        </is>
      </c>
      <c r="C401" t="inlineStr">
        <is>
          <t>disneymouseketeer.com</t>
        </is>
      </c>
      <c r="D401" t="inlineStr">
        <is>
          <t>secondary</t>
        </is>
      </c>
      <c r="E401" t="inlineStr">
        <is>
          <t>search snippet / page</t>
        </is>
      </c>
      <c r="F401" t="inlineStr"/>
      <c r="G401" t="inlineStr"/>
      <c r="H401" t="inlineStr"/>
    </row>
    <row r="402">
      <c r="A402" t="inlineStr">
        <is>
          <t>PHS-0174</t>
        </is>
      </c>
      <c r="B402" t="inlineStr">
        <is>
          <t>https://disneypinventory.com/view_item.php?itemID=45889</t>
        </is>
      </c>
      <c r="C402" t="inlineStr">
        <is>
          <t>disneypinventory.com</t>
        </is>
      </c>
      <c r="D402" t="inlineStr">
        <is>
          <t>secondary</t>
        </is>
      </c>
      <c r="E402" t="inlineStr">
        <is>
          <t>search snippet / page</t>
        </is>
      </c>
      <c r="F402" t="inlineStr"/>
      <c r="G402" t="inlineStr"/>
      <c r="H402" t="inlineStr"/>
    </row>
    <row r="403">
      <c r="A403" t="inlineStr">
        <is>
          <t>PHS-0174</t>
        </is>
      </c>
      <c r="B403" t="inlineStr">
        <is>
          <t>https://wdwnt.com/2025/07/70th-anniversary-vault-collection-pins-and-display-frame-matterhorn-windows-of-attraction-and-more-at-disneyland-resort/</t>
        </is>
      </c>
      <c r="C403" t="inlineStr">
        <is>
          <t>wdwnt.com</t>
        </is>
      </c>
      <c r="D403" t="inlineStr">
        <is>
          <t>secondary</t>
        </is>
      </c>
      <c r="E403" t="inlineStr">
        <is>
          <t>search snippet / page</t>
        </is>
      </c>
      <c r="F403" t="inlineStr"/>
      <c r="G403" t="inlineStr"/>
      <c r="H403" t="inlineStr"/>
    </row>
    <row r="404">
      <c r="A404" t="inlineStr">
        <is>
          <t>PHS-0175</t>
        </is>
      </c>
      <c r="B404" t="inlineStr">
        <is>
          <t>https://www.disneystore.com/disneyland-70th-anniversary-vault-collection-pin-set-2-limited-edition-438019192445.html</t>
        </is>
      </c>
      <c r="C404" t="inlineStr">
        <is>
          <t>disneystore.com</t>
        </is>
      </c>
      <c r="D404" t="inlineStr">
        <is>
          <t>official</t>
        </is>
      </c>
      <c r="E404" t="inlineStr">
        <is>
          <t>search snippet / page</t>
        </is>
      </c>
      <c r="F404" t="inlineStr"/>
      <c r="G404" t="inlineStr"/>
      <c r="H404" t="inlineStr"/>
    </row>
    <row r="405">
      <c r="A405" t="inlineStr">
        <is>
          <t>PHS-0175</t>
        </is>
      </c>
      <c r="B405" t="inlineStr">
        <is>
          <t>https://disneypinventory.com/view_item.php?itemID=48211</t>
        </is>
      </c>
      <c r="C405" t="inlineStr">
        <is>
          <t>disneypinventory.com</t>
        </is>
      </c>
      <c r="D405" t="inlineStr">
        <is>
          <t>secondary</t>
        </is>
      </c>
      <c r="E405" t="inlineStr">
        <is>
          <t>search snippet / page</t>
        </is>
      </c>
      <c r="F405" t="inlineStr"/>
      <c r="G405" t="inlineStr"/>
      <c r="H405" t="inlineStr"/>
    </row>
    <row r="406">
      <c r="A406" t="inlineStr">
        <is>
          <t>PHS-0175</t>
        </is>
      </c>
      <c r="B406" t="inlineStr">
        <is>
          <t>https://wdwnt.com/2025/07/70th-anniversary-vault-collection-pins-and-display-frame-matterhorn-windows-of-attraction-and-more-at-disneyland-resort/</t>
        </is>
      </c>
      <c r="C406" t="inlineStr">
        <is>
          <t>wdwnt.com</t>
        </is>
      </c>
      <c r="D406" t="inlineStr">
        <is>
          <t>secondary</t>
        </is>
      </c>
      <c r="E406" t="inlineStr">
        <is>
          <t>search snippet / page</t>
        </is>
      </c>
      <c r="F406" t="inlineStr"/>
      <c r="G406" t="inlineStr"/>
      <c r="H406" t="inlineStr"/>
    </row>
    <row r="407">
      <c r="A407" t="inlineStr">
        <is>
          <t>PHS-0175</t>
        </is>
      </c>
      <c r="B407" t="inlineStr">
        <is>
          <t>https://wdwnt.com/2025/10/disneyland-pin-tuesday-nbc-hidden-disney-venom-more-new-pins/</t>
        </is>
      </c>
      <c r="C407" t="inlineStr">
        <is>
          <t>wdwnt.com</t>
        </is>
      </c>
      <c r="D407" t="inlineStr">
        <is>
          <t>secondary</t>
        </is>
      </c>
      <c r="E407" t="inlineStr">
        <is>
          <t>search snippet / page</t>
        </is>
      </c>
      <c r="F407" t="inlineStr"/>
      <c r="G407" t="inlineStr"/>
      <c r="H407" t="inlineStr"/>
    </row>
    <row r="408">
      <c r="A408" t="inlineStr">
        <is>
          <t>PHS-0176</t>
        </is>
      </c>
      <c r="B408" t="inlineStr">
        <is>
          <t>https://disneypinventory.com/view_item.php?itemID=44752</t>
        </is>
      </c>
      <c r="C408" t="inlineStr">
        <is>
          <t>disneypinventory.com</t>
        </is>
      </c>
      <c r="D408" t="inlineStr">
        <is>
          <t>secondary</t>
        </is>
      </c>
      <c r="E408" t="inlineStr">
        <is>
          <t>search snippet / page</t>
        </is>
      </c>
      <c r="F408" t="inlineStr"/>
      <c r="G408" t="inlineStr"/>
      <c r="H408" t="inlineStr"/>
    </row>
    <row r="409">
      <c r="A409" t="inlineStr">
        <is>
          <t>PHS-0177</t>
        </is>
      </c>
      <c r="B409" t="inlineStr">
        <is>
          <t>https://www.disneystore.asia/sleeping-beauty-castle-pin-disney-windows-of-attraction-limited-edition-438010292120.html</t>
        </is>
      </c>
      <c r="C409" t="inlineStr">
        <is>
          <t>disneystore.asia</t>
        </is>
      </c>
      <c r="D409" t="inlineStr">
        <is>
          <t>official</t>
        </is>
      </c>
      <c r="E409" t="inlineStr">
        <is>
          <t>search snippet / page</t>
        </is>
      </c>
      <c r="F409" t="inlineStr"/>
      <c r="G409" t="inlineStr"/>
      <c r="H409" t="inlineStr"/>
    </row>
    <row r="410">
      <c r="A410" t="inlineStr">
        <is>
          <t>PHS-0177</t>
        </is>
      </c>
      <c r="B410" t="inlineStr">
        <is>
          <t>https://www.disneystore.asia/space-mountain-pin-disney-windows-of-attraction-limited-edition-438019739077.html</t>
        </is>
      </c>
      <c r="C410" t="inlineStr">
        <is>
          <t>disneystore.asia</t>
        </is>
      </c>
      <c r="D410" t="inlineStr">
        <is>
          <t>official</t>
        </is>
      </c>
      <c r="E410" t="inlineStr">
        <is>
          <t>search snippet / page</t>
        </is>
      </c>
      <c r="F410" t="inlineStr"/>
      <c r="G410" t="inlineStr"/>
      <c r="H410" t="inlineStr"/>
    </row>
    <row r="411">
      <c r="A411" t="inlineStr">
        <is>
          <t>PHS-0177</t>
        </is>
      </c>
      <c r="B411" t="inlineStr">
        <is>
          <t>https://www.disneystore.asia/star-tours-limited-edition-pin-disney-windows-of-attraction-438010023830.html</t>
        </is>
      </c>
      <c r="C411" t="inlineStr">
        <is>
          <t>disneystore.asia</t>
        </is>
      </c>
      <c r="D411" t="inlineStr">
        <is>
          <t>official</t>
        </is>
      </c>
      <c r="E411" t="inlineStr">
        <is>
          <t>search snippet / page</t>
        </is>
      </c>
      <c r="F411" t="inlineStr"/>
      <c r="G411" t="inlineStr"/>
      <c r="H411" t="inlineStr"/>
    </row>
    <row r="412">
      <c r="A412" t="inlineStr">
        <is>
          <t>PHS-0177</t>
        </is>
      </c>
      <c r="B412" t="inlineStr">
        <is>
          <t>https://disneymouseketeer.com/disney-windows-of-attraction-sleeping-beauty-castle-pin-at-disney-store/</t>
        </is>
      </c>
      <c r="C412" t="inlineStr">
        <is>
          <t>disneymouseketeer.com</t>
        </is>
      </c>
      <c r="D412" t="inlineStr">
        <is>
          <t>secondary</t>
        </is>
      </c>
      <c r="E412" t="inlineStr">
        <is>
          <t>search snippet / page</t>
        </is>
      </c>
      <c r="F412" t="inlineStr"/>
      <c r="G412" t="inlineStr"/>
      <c r="H412" t="inlineStr"/>
    </row>
    <row r="413">
      <c r="A413" t="inlineStr">
        <is>
          <t>PHS-0177</t>
        </is>
      </c>
      <c r="B413" t="inlineStr">
        <is>
          <t>https://disneymouseketeer.com/disney-windows-of-attraction-star-tours-pin-at-disney-store/</t>
        </is>
      </c>
      <c r="C413" t="inlineStr">
        <is>
          <t>disneymouseketeer.com</t>
        </is>
      </c>
      <c r="D413" t="inlineStr">
        <is>
          <t>secondary</t>
        </is>
      </c>
      <c r="E413" t="inlineStr">
        <is>
          <t>search snippet / page</t>
        </is>
      </c>
      <c r="F413" t="inlineStr"/>
      <c r="G413" t="inlineStr"/>
      <c r="H413" t="inlineStr"/>
    </row>
    <row r="414">
      <c r="A414" t="inlineStr">
        <is>
          <t>PHS-0177</t>
        </is>
      </c>
      <c r="B414" t="inlineStr">
        <is>
          <t>https://disneypinsblog.com/blogs/news/space-mountain-windows-of-attraction-pin-at-disney-store</t>
        </is>
      </c>
      <c r="C414" t="inlineStr">
        <is>
          <t>disneypinsblog.com</t>
        </is>
      </c>
      <c r="D414" t="inlineStr">
        <is>
          <t>secondary</t>
        </is>
      </c>
      <c r="E414" t="inlineStr">
        <is>
          <t>search snippet / page</t>
        </is>
      </c>
      <c r="F414" t="inlineStr"/>
      <c r="G414" t="inlineStr"/>
      <c r="H414" t="inlineStr"/>
    </row>
    <row r="415">
      <c r="A415" t="inlineStr">
        <is>
          <t>PHS-0178</t>
        </is>
      </c>
      <c r="B415" t="inlineStr">
        <is>
          <t>https://disneypinsblog.com/blogs/news/new-disney-pins-june-2026-week-1</t>
        </is>
      </c>
      <c r="C415" t="inlineStr">
        <is>
          <t>disneypinsblog.com</t>
        </is>
      </c>
      <c r="D415" t="inlineStr">
        <is>
          <t>secondary</t>
        </is>
      </c>
      <c r="E415" t="inlineStr">
        <is>
          <t>search snippet / page</t>
        </is>
      </c>
      <c r="F415" t="inlineStr"/>
      <c r="G415" t="inlineStr"/>
      <c r="H415" t="inlineStr"/>
    </row>
    <row r="416">
      <c r="A416" t="inlineStr">
        <is>
          <t>PHS-0178</t>
        </is>
      </c>
      <c r="B416" t="inlineStr">
        <is>
          <t>https://disneypinsblog.com/disney-parks-2026-monthly-pin-collections/</t>
        </is>
      </c>
      <c r="C416" t="inlineStr">
        <is>
          <t>disneypinsblog.com</t>
        </is>
      </c>
      <c r="D416" t="inlineStr">
        <is>
          <t>secondary</t>
        </is>
      </c>
      <c r="E416" t="inlineStr">
        <is>
          <t>search snippet / page</t>
        </is>
      </c>
      <c r="F416" t="inlineStr"/>
      <c r="G416" t="inlineStr"/>
      <c r="H416" t="inlineStr"/>
    </row>
    <row r="417">
      <c r="A417" t="inlineStr">
        <is>
          <t>PHS-0178</t>
        </is>
      </c>
      <c r="B417" t="inlineStr">
        <is>
          <t>https://disneypinsblog.com/new-disney-pins-april-2026-week-1/</t>
        </is>
      </c>
      <c r="C417" t="inlineStr">
        <is>
          <t>disneypinsblog.com</t>
        </is>
      </c>
      <c r="D417" t="inlineStr">
        <is>
          <t>secondary</t>
        </is>
      </c>
      <c r="E417" t="inlineStr">
        <is>
          <t>search snippet / page</t>
        </is>
      </c>
      <c r="F417" t="inlineStr"/>
      <c r="G417" t="inlineStr"/>
      <c r="H417" t="inlineStr"/>
    </row>
    <row r="418">
      <c r="A418" t="inlineStr">
        <is>
          <t>PHS-0178</t>
        </is>
      </c>
      <c r="B418" t="inlineStr">
        <is>
          <t>https://disneypinsblog.com/new-disney-pins-august-2026-week-1/</t>
        </is>
      </c>
      <c r="C418" t="inlineStr">
        <is>
          <t>disneypinsblog.com</t>
        </is>
      </c>
      <c r="D418" t="inlineStr">
        <is>
          <t>secondary</t>
        </is>
      </c>
      <c r="E418" t="inlineStr">
        <is>
          <t>search snippet / page</t>
        </is>
      </c>
      <c r="F418" t="inlineStr"/>
      <c r="G418" t="inlineStr"/>
      <c r="H418" t="inlineStr"/>
    </row>
    <row r="419">
      <c r="A419" t="inlineStr">
        <is>
          <t>PHS-0178</t>
        </is>
      </c>
      <c r="B419" t="inlineStr">
        <is>
          <t>https://disneypinsblog.com/new-disney-pins-january-2026-week-1/</t>
        </is>
      </c>
      <c r="C419" t="inlineStr">
        <is>
          <t>disneypinsblog.com</t>
        </is>
      </c>
      <c r="D419" t="inlineStr">
        <is>
          <t>secondary</t>
        </is>
      </c>
      <c r="E419" t="inlineStr">
        <is>
          <t>search snippet / page</t>
        </is>
      </c>
      <c r="F419" t="inlineStr"/>
      <c r="G419" t="inlineStr"/>
      <c r="H419" t="inlineStr"/>
    </row>
    <row r="420">
      <c r="A420" t="inlineStr">
        <is>
          <t>PHS-0178</t>
        </is>
      </c>
      <c r="B420" t="inlineStr">
        <is>
          <t>https://disneypinsblog.com/new-disney-pins-july-2026-week-1/</t>
        </is>
      </c>
      <c r="C420" t="inlineStr">
        <is>
          <t>disneypinsblog.com</t>
        </is>
      </c>
      <c r="D420" t="inlineStr">
        <is>
          <t>secondary</t>
        </is>
      </c>
      <c r="E420" t="inlineStr">
        <is>
          <t>search snippet / page</t>
        </is>
      </c>
      <c r="F420" t="inlineStr"/>
      <c r="G420" t="inlineStr"/>
      <c r="H420" t="inlineStr"/>
    </row>
    <row r="421">
      <c r="A421" t="inlineStr">
        <is>
          <t>PHS-0179</t>
        </is>
      </c>
      <c r="B421" t="inlineStr">
        <is>
          <t>https://www.disneystore.com/walt-disney-disneyland-dedication-speech-pin-walts-magical-moments-limited-edition-438010808062.html</t>
        </is>
      </c>
      <c r="C421" t="inlineStr">
        <is>
          <t>disneystore.com</t>
        </is>
      </c>
      <c r="D421" t="inlineStr">
        <is>
          <t>official</t>
        </is>
      </c>
      <c r="E421" t="inlineStr">
        <is>
          <t>search snippet / page</t>
        </is>
      </c>
      <c r="F421" t="inlineStr"/>
      <c r="G421" t="inlineStr"/>
      <c r="H421" t="inlineStr"/>
    </row>
    <row r="422">
      <c r="A422" t="inlineStr">
        <is>
          <t>PHS-0179</t>
        </is>
      </c>
      <c r="B422" t="inlineStr">
        <is>
          <t>https://www.disneystore.com/walt-disney-flowers-and-trees-pin-walts-magical-moments-limited-edition-438010104560.html</t>
        </is>
      </c>
      <c r="C422" t="inlineStr">
        <is>
          <t>disneystore.com</t>
        </is>
      </c>
      <c r="D422" t="inlineStr">
        <is>
          <t>official</t>
        </is>
      </c>
      <c r="E422" t="inlineStr">
        <is>
          <t>search snippet / page</t>
        </is>
      </c>
      <c r="F422" t="inlineStr"/>
      <c r="G422" t="inlineStr"/>
      <c r="H422" t="inlineStr"/>
    </row>
    <row r="423">
      <c r="A423" t="inlineStr">
        <is>
          <t>PHS-0179</t>
        </is>
      </c>
      <c r="B423" t="inlineStr">
        <is>
          <t>https://www.disneystore.eu/walt-disney-feed-the-birds-limited-edition-pin-walts-magical-moments-438010897608.html</t>
        </is>
      </c>
      <c r="C423" t="inlineStr">
        <is>
          <t>disneystore.eu</t>
        </is>
      </c>
      <c r="D423" t="inlineStr">
        <is>
          <t>official</t>
        </is>
      </c>
      <c r="E423" t="inlineStr">
        <is>
          <t>search snippet / page</t>
        </is>
      </c>
      <c r="F423" t="inlineStr"/>
      <c r="G423" t="inlineStr"/>
      <c r="H423" t="inlineStr"/>
    </row>
    <row r="424">
      <c r="A424" t="inlineStr">
        <is>
          <t>PHS-0179</t>
        </is>
      </c>
      <c r="B424" t="inlineStr">
        <is>
          <t>https://disneypinsblog.com/disney-parks-2026-monthly-pin-collections/</t>
        </is>
      </c>
      <c r="C424" t="inlineStr">
        <is>
          <t>disneypinsblog.com</t>
        </is>
      </c>
      <c r="D424" t="inlineStr">
        <is>
          <t>secondary</t>
        </is>
      </c>
      <c r="E424" t="inlineStr">
        <is>
          <t>search snippet / page</t>
        </is>
      </c>
      <c r="F424" t="inlineStr"/>
      <c r="G424" t="inlineStr"/>
      <c r="H424" t="inlineStr"/>
    </row>
    <row r="425">
      <c r="A425" t="inlineStr">
        <is>
          <t>PHS-0179</t>
        </is>
      </c>
      <c r="B425" t="inlineStr">
        <is>
          <t>https://disneypinsblog.com/feed-the-birds-walts-magical-moments-pin-at-disney-store/</t>
        </is>
      </c>
      <c r="C425" t="inlineStr">
        <is>
          <t>disneypinsblog.com</t>
        </is>
      </c>
      <c r="D425" t="inlineStr">
        <is>
          <t>secondary</t>
        </is>
      </c>
      <c r="E425" t="inlineStr">
        <is>
          <t>search snippet / page</t>
        </is>
      </c>
      <c r="F425" t="inlineStr"/>
      <c r="G425" t="inlineStr"/>
      <c r="H425" t="inlineStr"/>
    </row>
    <row r="426">
      <c r="A426" t="inlineStr">
        <is>
          <t>PHS-0179</t>
        </is>
      </c>
      <c r="B426" t="inlineStr">
        <is>
          <t>https://www.dismerchandise.com/2026/02/10/walt-disney-flowers-and-trees-pin-walts-magical-moments-limited-edition-is-available-online-for-purchase/</t>
        </is>
      </c>
      <c r="C426" t="inlineStr">
        <is>
          <t>dismerchandise.com</t>
        </is>
      </c>
      <c r="D426" t="inlineStr">
        <is>
          <t>secondary</t>
        </is>
      </c>
      <c r="E426" t="inlineStr">
        <is>
          <t>search snippet / page</t>
        </is>
      </c>
      <c r="F426" t="inlineStr"/>
      <c r="G426" t="inlineStr"/>
      <c r="H426" t="inlineStr"/>
    </row>
    <row r="427">
      <c r="A427" t="inlineStr">
        <is>
          <t>PHS-0180</t>
        </is>
      </c>
      <c r="B427" t="inlineStr">
        <is>
          <t>https://wdwnt.com/2023/01/new-limited-edition-pins-arrive-at-disneyland/</t>
        </is>
      </c>
      <c r="C427" t="inlineStr">
        <is>
          <t>wdwnt.com</t>
        </is>
      </c>
      <c r="D427" t="inlineStr">
        <is>
          <t>secondary</t>
        </is>
      </c>
      <c r="E427" t="inlineStr">
        <is>
          <t>search snippet / page</t>
        </is>
      </c>
      <c r="F427" t="inlineStr"/>
      <c r="G427" t="inlineStr"/>
      <c r="H427" t="inlineStr"/>
    </row>
    <row r="428">
      <c r="A428" t="inlineStr">
        <is>
          <t>PHS-0181</t>
        </is>
      </c>
      <c r="B428" t="inlineStr">
        <is>
          <t>https://www.disneystore.co.uk/enchanted-tiki-room-disneyland-resort-fantasy-parade-limited-edition-pin-438017783553.html</t>
        </is>
      </c>
      <c r="C428" t="inlineStr">
        <is>
          <t>disneystore.co.uk</t>
        </is>
      </c>
      <c r="D428" t="inlineStr">
        <is>
          <t>official</t>
        </is>
      </c>
      <c r="E428" t="inlineStr">
        <is>
          <t>search snippet / page</t>
        </is>
      </c>
      <c r="F428" t="inlineStr"/>
      <c r="G428" t="inlineStr"/>
      <c r="H428" t="inlineStr"/>
    </row>
    <row r="429">
      <c r="A429" t="inlineStr">
        <is>
          <t>PHS-0181</t>
        </is>
      </c>
      <c r="B429" t="inlineStr">
        <is>
          <t>https://www.disneystore.eu/big-thunder-mountain-railroad-disneyland-resort-fantasy-parade-limited-edition-pin-438017889170.html</t>
        </is>
      </c>
      <c r="C429" t="inlineStr">
        <is>
          <t>disneystore.eu</t>
        </is>
      </c>
      <c r="D429" t="inlineStr">
        <is>
          <t>official</t>
        </is>
      </c>
      <c r="E429" t="inlineStr">
        <is>
          <t>search snippet / page</t>
        </is>
      </c>
      <c r="F429" t="inlineStr"/>
      <c r="G429" t="inlineStr"/>
      <c r="H429" t="inlineStr"/>
    </row>
    <row r="430">
      <c r="A430" t="inlineStr">
        <is>
          <t>PHS-0181</t>
        </is>
      </c>
      <c r="B430" t="inlineStr">
        <is>
          <t>https://www.disneystore.eu/hatbox-ghost-disneyland-parade-limited-edition-pin-the-haunted-mansion-438017634640.html</t>
        </is>
      </c>
      <c r="C430" t="inlineStr">
        <is>
          <t>disneystore.eu</t>
        </is>
      </c>
      <c r="D430" t="inlineStr">
        <is>
          <t>official</t>
        </is>
      </c>
      <c r="E430" t="inlineStr">
        <is>
          <t>search snippet / page</t>
        </is>
      </c>
      <c r="F430" t="inlineStr"/>
      <c r="G430" t="inlineStr"/>
      <c r="H430" t="inlineStr"/>
    </row>
    <row r="431">
      <c r="A431" t="inlineStr">
        <is>
          <t>PHS-0181</t>
        </is>
      </c>
      <c r="B431" t="inlineStr">
        <is>
          <t>https://disneymouseketeer.com/fantasy-parades-monthly-pin-series-at-disneyland/</t>
        </is>
      </c>
      <c r="C431" t="inlineStr">
        <is>
          <t>disneymouseketeer.com</t>
        </is>
      </c>
      <c r="D431" t="inlineStr">
        <is>
          <t>secondary</t>
        </is>
      </c>
      <c r="E431" t="inlineStr">
        <is>
          <t>search snippet / page</t>
        </is>
      </c>
      <c r="F431" t="inlineStr"/>
      <c r="G431" t="inlineStr"/>
      <c r="H431" t="inlineStr"/>
    </row>
    <row r="432">
      <c r="A432" t="inlineStr">
        <is>
          <t>PHS-0181</t>
        </is>
      </c>
      <c r="B432" t="inlineStr">
        <is>
          <t>https://disneypinsblog.com/complete-disneyland-parades-pin-collection/</t>
        </is>
      </c>
      <c r="C432" t="inlineStr">
        <is>
          <t>disneypinsblog.com</t>
        </is>
      </c>
      <c r="D432" t="inlineStr">
        <is>
          <t>secondary</t>
        </is>
      </c>
      <c r="E432" t="inlineStr">
        <is>
          <t>search snippet / page</t>
        </is>
      </c>
      <c r="F432" t="inlineStr"/>
      <c r="G432" t="inlineStr"/>
      <c r="H432" t="inlineStr"/>
    </row>
    <row r="433">
      <c r="A433" t="inlineStr">
        <is>
          <t>PHS-0181</t>
        </is>
      </c>
      <c r="B433" t="inlineStr">
        <is>
          <t>https://disneypinventory.com/view_item.php?itemID=32918</t>
        </is>
      </c>
      <c r="C433" t="inlineStr">
        <is>
          <t>disneypinventory.com</t>
        </is>
      </c>
      <c r="D433" t="inlineStr">
        <is>
          <t>secondary</t>
        </is>
      </c>
      <c r="E433" t="inlineStr">
        <is>
          <t>search snippet / page</t>
        </is>
      </c>
      <c r="F433" t="inlineStr"/>
      <c r="G433" t="inlineStr"/>
      <c r="H433" t="inlineStr"/>
    </row>
    <row r="434">
      <c r="A434" t="inlineStr">
        <is>
          <t>PHS-0182</t>
        </is>
      </c>
      <c r="B434" t="inlineStr">
        <is>
          <t>https://disneypinsblog.com/pin-trading-night-event-june-2024-at-disneyland/</t>
        </is>
      </c>
      <c r="C434" t="inlineStr">
        <is>
          <t>disneypinsblog.com</t>
        </is>
      </c>
      <c r="D434" t="inlineStr">
        <is>
          <t>secondary</t>
        </is>
      </c>
      <c r="E434" t="inlineStr">
        <is>
          <t>search snippet / page</t>
        </is>
      </c>
      <c r="F434" t="inlineStr"/>
      <c r="G434" t="inlineStr"/>
      <c r="H434" t="inlineStr"/>
    </row>
    <row r="435">
      <c r="A435" t="inlineStr">
        <is>
          <t>PHS-0183</t>
        </is>
      </c>
      <c r="B435" t="inlineStr">
        <is>
          <t>https://disneypinsblog.com/d23-marketplace-disney-pin-releases-at-d23-2024/</t>
        </is>
      </c>
      <c r="C435" t="inlineStr">
        <is>
          <t>disneypinsblog.com</t>
        </is>
      </c>
      <c r="D435" t="inlineStr">
        <is>
          <t>secondary</t>
        </is>
      </c>
      <c r="E435" t="inlineStr">
        <is>
          <t>search snippet / page</t>
        </is>
      </c>
      <c r="F435" t="inlineStr"/>
      <c r="G435" t="inlineStr"/>
      <c r="H435" t="inlineStr"/>
    </row>
    <row r="436">
      <c r="A436" t="inlineStr">
        <is>
          <t>PHS-0184</t>
        </is>
      </c>
      <c r="B436" t="inlineStr">
        <is>
          <t>https://disneypinsblog.com/blogs/news/new-disney-pins-october-2025-week-1</t>
        </is>
      </c>
      <c r="C436" t="inlineStr">
        <is>
          <t>disneypinsblog.com</t>
        </is>
      </c>
      <c r="D436" t="inlineStr">
        <is>
          <t>secondary</t>
        </is>
      </c>
      <c r="E436" t="inlineStr">
        <is>
          <t>search snippet / page</t>
        </is>
      </c>
      <c r="F436" t="inlineStr"/>
      <c r="G436" t="inlineStr"/>
      <c r="H436" t="inlineStr"/>
    </row>
    <row r="437">
      <c r="A437" t="inlineStr">
        <is>
          <t>PHS-0184</t>
        </is>
      </c>
      <c r="B437" t="inlineStr">
        <is>
          <t>https://disneypinsblog.com/complete-disneyland-windows-of-attraction-pin-collection/</t>
        </is>
      </c>
      <c r="C437" t="inlineStr">
        <is>
          <t>disneypinsblog.com</t>
        </is>
      </c>
      <c r="D437" t="inlineStr">
        <is>
          <t>secondary</t>
        </is>
      </c>
      <c r="E437" t="inlineStr">
        <is>
          <t>search snippet / page</t>
        </is>
      </c>
      <c r="F437" t="inlineStr"/>
      <c r="G437" t="inlineStr"/>
      <c r="H437" t="inlineStr"/>
    </row>
    <row r="438">
      <c r="A438" t="inlineStr">
        <is>
          <t>PHS-0184</t>
        </is>
      </c>
      <c r="B438" t="inlineStr">
        <is>
          <t>https://wdwnt.com/2025/05/new-enchanted-tiki-room-windows-of-attraction-pin-released-at-disneyland-resort/</t>
        </is>
      </c>
      <c r="C438" t="inlineStr">
        <is>
          <t>wdwnt.com</t>
        </is>
      </c>
      <c r="D438" t="inlineStr">
        <is>
          <t>secondary</t>
        </is>
      </c>
      <c r="E438" t="inlineStr">
        <is>
          <t>search snippet / page</t>
        </is>
      </c>
      <c r="F438" t="inlineStr"/>
      <c r="G438" t="inlineStr"/>
      <c r="H438" t="inlineStr"/>
    </row>
    <row r="439">
      <c r="A439" t="inlineStr">
        <is>
          <t>PHS-0184</t>
        </is>
      </c>
      <c r="B439" t="inlineStr">
        <is>
          <t>https://wdwnt.com/2025/07/70th-anniversary-vault-collection-pins-and-display-frame-matterhorn-windows-of-attraction-and-more-at-disneyland-resort/</t>
        </is>
      </c>
      <c r="C439" t="inlineStr">
        <is>
          <t>wdwnt.com</t>
        </is>
      </c>
      <c r="D439" t="inlineStr">
        <is>
          <t>secondary</t>
        </is>
      </c>
      <c r="E439" t="inlineStr">
        <is>
          <t>search snippet / page</t>
        </is>
      </c>
      <c r="F439" t="inlineStr"/>
      <c r="G439" t="inlineStr"/>
      <c r="H439" t="inlineStr"/>
    </row>
    <row r="440">
      <c r="A440" t="inlineStr">
        <is>
          <t>PHS-0184</t>
        </is>
      </c>
      <c r="B440" t="inlineStr">
        <is>
          <t>https://wdwnt.com/2025/08/pin-tuesday-disneyland-mickey-pumpkin-vault-collection-big-thunder/</t>
        </is>
      </c>
      <c r="C440" t="inlineStr">
        <is>
          <t>wdwnt.com</t>
        </is>
      </c>
      <c r="D440" t="inlineStr">
        <is>
          <t>secondary</t>
        </is>
      </c>
      <c r="E440" t="inlineStr">
        <is>
          <t>search snippet / page</t>
        </is>
      </c>
      <c r="F440" t="inlineStr"/>
      <c r="G440" t="inlineStr"/>
      <c r="H440" t="inlineStr"/>
    </row>
    <row r="441">
      <c r="A441" t="inlineStr">
        <is>
          <t>PHS-0184</t>
        </is>
      </c>
      <c r="B441" t="inlineStr">
        <is>
          <t>https://wdwnt.com/2025/09/disneyland-70th-anniversary-magic-key-halloween-pins/</t>
        </is>
      </c>
      <c r="C441" t="inlineStr">
        <is>
          <t>wdwnt.com</t>
        </is>
      </c>
      <c r="D441" t="inlineStr">
        <is>
          <t>secondary</t>
        </is>
      </c>
      <c r="E441" t="inlineStr">
        <is>
          <t>search snippet / page</t>
        </is>
      </c>
      <c r="F441" t="inlineStr"/>
      <c r="G441" t="inlineStr"/>
      <c r="H441" t="inlineStr"/>
    </row>
    <row r="442">
      <c r="A442" t="inlineStr">
        <is>
          <t>PHS-0185</t>
        </is>
      </c>
      <c r="B442" t="inlineStr">
        <is>
          <t>https://disneypinsblog.com/disneyland-70th-anniversary-celebrate-happy-pin-releases/</t>
        </is>
      </c>
      <c r="C442" t="inlineStr">
        <is>
          <t>disneypinsblog.com</t>
        </is>
      </c>
      <c r="D442" t="inlineStr">
        <is>
          <t>secondary</t>
        </is>
      </c>
      <c r="E442" t="inlineStr">
        <is>
          <t>search snippet / page</t>
        </is>
      </c>
      <c r="F442" t="inlineStr"/>
      <c r="G442" t="inlineStr"/>
      <c r="H442" t="inlineStr"/>
    </row>
    <row r="443">
      <c r="A443" t="inlineStr">
        <is>
          <t>PHS-0185</t>
        </is>
      </c>
      <c r="B443" t="inlineStr">
        <is>
          <t>https://wdwnt.com/2025/03/new-colorful-disneyland-70th-anniversary-merchandise-now-available/</t>
        </is>
      </c>
      <c r="C443" t="inlineStr">
        <is>
          <t>wdwnt.com</t>
        </is>
      </c>
      <c r="D443" t="inlineStr">
        <is>
          <t>secondary</t>
        </is>
      </c>
      <c r="E443" t="inlineStr">
        <is>
          <t>search snippet / page</t>
        </is>
      </c>
      <c r="F443" t="inlineStr"/>
      <c r="G443" t="inlineStr"/>
      <c r="H443" t="inlineStr"/>
    </row>
    <row r="444">
      <c r="A444" t="inlineStr">
        <is>
          <t>PHS-0186</t>
        </is>
      </c>
      <c r="B444" t="inlineStr">
        <is>
          <t>https://disneypinventory.com/view_item.php?itemID=44713</t>
        </is>
      </c>
      <c r="C444" t="inlineStr">
        <is>
          <t>disneypinventory.com</t>
        </is>
      </c>
      <c r="D444" t="inlineStr">
        <is>
          <t>secondary</t>
        </is>
      </c>
      <c r="E444" t="inlineStr">
        <is>
          <t>search snippet / page</t>
        </is>
      </c>
      <c r="F444" t="inlineStr"/>
      <c r="G444" t="inlineStr"/>
      <c r="H444" t="inlineStr"/>
    </row>
    <row r="445">
      <c r="A445" t="inlineStr">
        <is>
          <t>PHS-0187</t>
        </is>
      </c>
      <c r="B445" t="inlineStr">
        <is>
          <t>https://www.disneystore.com/disneyland-70th-anniversary-vault-collection-pin-display-frame-with-three-pins-limited-edition-438018657693.html</t>
        </is>
      </c>
      <c r="C445" t="inlineStr">
        <is>
          <t>disneystore.com</t>
        </is>
      </c>
      <c r="D445" t="inlineStr">
        <is>
          <t>official</t>
        </is>
      </c>
      <c r="E445" t="inlineStr">
        <is>
          <t>search snippet / page</t>
        </is>
      </c>
      <c r="F445" t="inlineStr"/>
      <c r="G445" t="inlineStr"/>
      <c r="H445" t="inlineStr"/>
    </row>
    <row r="446">
      <c r="A446" t="inlineStr">
        <is>
          <t>PHS-0187</t>
        </is>
      </c>
      <c r="B446" t="inlineStr">
        <is>
          <t>https://disneypinventory.com/view_item.php?itemID=46283</t>
        </is>
      </c>
      <c r="C446" t="inlineStr">
        <is>
          <t>disneypinventory.com</t>
        </is>
      </c>
      <c r="D446" t="inlineStr">
        <is>
          <t>secondary</t>
        </is>
      </c>
      <c r="E446" t="inlineStr">
        <is>
          <t>search snippet / page</t>
        </is>
      </c>
      <c r="F446" t="inlineStr"/>
      <c r="G446" t="inlineStr"/>
      <c r="H446" t="inlineStr"/>
    </row>
    <row r="447">
      <c r="A447" t="inlineStr">
        <is>
          <t>PHS-0187</t>
        </is>
      </c>
      <c r="B447" t="inlineStr">
        <is>
          <t>https://wdwnt.com/2025/07/70th-anniversary-vault-collection-pins-and-display-frame-matterhorn-windows-of-attraction-and-more-at-disneyland-resort/</t>
        </is>
      </c>
      <c r="C447" t="inlineStr">
        <is>
          <t>wdwnt.com</t>
        </is>
      </c>
      <c r="D447" t="inlineStr">
        <is>
          <t>secondary</t>
        </is>
      </c>
      <c r="E447" t="inlineStr">
        <is>
          <t>search snippet / page</t>
        </is>
      </c>
      <c r="F447" t="inlineStr"/>
      <c r="G447" t="inlineStr"/>
      <c r="H447" t="inlineStr"/>
    </row>
    <row r="448">
      <c r="A448" t="inlineStr">
        <is>
          <t>PHS-0188</t>
        </is>
      </c>
      <c r="B448" t="inlineStr">
        <is>
          <t>https://disneybymark.com/2025/09/new-disneyland-70th-anniversary-pins-magic-key-halloween-pin-and-more/</t>
        </is>
      </c>
      <c r="C448" t="inlineStr">
        <is>
          <t>disneybymark.com</t>
        </is>
      </c>
      <c r="D448" t="inlineStr">
        <is>
          <t>secondary</t>
        </is>
      </c>
      <c r="E448" t="inlineStr">
        <is>
          <t>search snippet / page</t>
        </is>
      </c>
      <c r="F448" t="inlineStr"/>
      <c r="G448" t="inlineStr"/>
      <c r="H448" t="inlineStr"/>
    </row>
    <row r="449">
      <c r="A449" t="inlineStr">
        <is>
          <t>PHS-0188</t>
        </is>
      </c>
      <c r="B449" t="inlineStr">
        <is>
          <t>https://wdwnt.com/2025/09/disneyland-70th-anniversary-magic-key-halloween-pins/</t>
        </is>
      </c>
      <c r="C449" t="inlineStr">
        <is>
          <t>wdwnt.com</t>
        </is>
      </c>
      <c r="D449" t="inlineStr">
        <is>
          <t>secondary</t>
        </is>
      </c>
      <c r="E449" t="inlineStr">
        <is>
          <t>search snippet / page</t>
        </is>
      </c>
      <c r="F449" t="inlineStr"/>
      <c r="G449" t="inlineStr"/>
      <c r="H449" t="inlineStr"/>
    </row>
    <row r="450">
      <c r="A450" t="inlineStr">
        <is>
          <t>PHS-0189</t>
        </is>
      </c>
      <c r="B450" t="inlineStr">
        <is>
          <t>https://disneybymark.com/2025/09/new-disneyland-70th-anniversary-pins-magic-key-halloween-pin-and-more/</t>
        </is>
      </c>
      <c r="C450" t="inlineStr">
        <is>
          <t>disneybymark.com</t>
        </is>
      </c>
      <c r="D450" t="inlineStr">
        <is>
          <t>secondary</t>
        </is>
      </c>
      <c r="E450" t="inlineStr">
        <is>
          <t>search snippet / page</t>
        </is>
      </c>
      <c r="F450" t="inlineStr"/>
      <c r="G450" t="inlineStr"/>
      <c r="H450" t="inlineStr"/>
    </row>
    <row r="451">
      <c r="A451" t="inlineStr">
        <is>
          <t>PHS-0189</t>
        </is>
      </c>
      <c r="B451" t="inlineStr">
        <is>
          <t>https://wdwnt.com/2025/09/disneyland-70th-anniversary-magic-key-halloween-pins/</t>
        </is>
      </c>
      <c r="C451" t="inlineStr">
        <is>
          <t>wdwnt.com</t>
        </is>
      </c>
      <c r="D451" t="inlineStr">
        <is>
          <t>secondary</t>
        </is>
      </c>
      <c r="E451" t="inlineStr">
        <is>
          <t>search snippet / page</t>
        </is>
      </c>
      <c r="F451" t="inlineStr"/>
      <c r="G451" t="inlineStr"/>
      <c r="H451" t="inlineStr"/>
    </row>
    <row r="452">
      <c r="A452" t="inlineStr">
        <is>
          <t>PHS-0190</t>
        </is>
      </c>
      <c r="B452" t="inlineStr">
        <is>
          <t>https://disneybymark.com/2025/09/new-disneyland-70th-anniversary-pins-magic-key-halloween-pin-and-more/</t>
        </is>
      </c>
      <c r="C452" t="inlineStr">
        <is>
          <t>disneybymark.com</t>
        </is>
      </c>
      <c r="D452" t="inlineStr">
        <is>
          <t>secondary</t>
        </is>
      </c>
      <c r="E452" t="inlineStr">
        <is>
          <t>search snippet / page</t>
        </is>
      </c>
      <c r="F452" t="inlineStr"/>
      <c r="G452" t="inlineStr"/>
      <c r="H452" t="inlineStr"/>
    </row>
    <row r="453">
      <c r="A453" t="inlineStr">
        <is>
          <t>PHS-0190</t>
        </is>
      </c>
      <c r="B453" t="inlineStr">
        <is>
          <t>https://wdwnt.com/2025/09/disneyland-70th-anniversary-magic-key-halloween-pins/</t>
        </is>
      </c>
      <c r="C453" t="inlineStr">
        <is>
          <t>wdwnt.com</t>
        </is>
      </c>
      <c r="D453" t="inlineStr">
        <is>
          <t>secondary</t>
        </is>
      </c>
      <c r="E453" t="inlineStr">
        <is>
          <t>search snippet / page</t>
        </is>
      </c>
      <c r="F453" t="inlineStr"/>
      <c r="G453" t="inlineStr"/>
      <c r="H453" t="inlineStr"/>
    </row>
    <row r="454">
      <c r="A454" t="inlineStr">
        <is>
          <t>PHS-0191</t>
        </is>
      </c>
      <c r="B454" t="inlineStr">
        <is>
          <t>https://mickeyblog.com/2025/10/21/celebrate-70-years-of-disneyland-with-the-new-d23-exclusive-pin-sets/</t>
        </is>
      </c>
      <c r="C454" t="inlineStr">
        <is>
          <t>mickeyblog.com</t>
        </is>
      </c>
      <c r="D454" t="inlineStr">
        <is>
          <t>secondary</t>
        </is>
      </c>
      <c r="E454" t="inlineStr">
        <is>
          <t>search snippet / page</t>
        </is>
      </c>
      <c r="F454" t="inlineStr"/>
      <c r="G454" t="inlineStr"/>
      <c r="H454" t="inlineStr"/>
    </row>
    <row r="455">
      <c r="A455" t="inlineStr">
        <is>
          <t>PHS-0191</t>
        </is>
      </c>
      <c r="B455" t="inlineStr">
        <is>
          <t>https://wdwnt.com/2025/10/new-d23-exclusive-disneyland-70th-anniversary-pin-sets-available-online/</t>
        </is>
      </c>
      <c r="C455" t="inlineStr">
        <is>
          <t>wdwnt.com</t>
        </is>
      </c>
      <c r="D455" t="inlineStr">
        <is>
          <t>secondary</t>
        </is>
      </c>
      <c r="E455" t="inlineStr">
        <is>
          <t>search snippet / page</t>
        </is>
      </c>
      <c r="F455" t="inlineStr"/>
      <c r="G455" t="inlineStr"/>
      <c r="H455" t="inlineStr"/>
    </row>
    <row r="456">
      <c r="A456" t="inlineStr">
        <is>
          <t>PHS-0192</t>
        </is>
      </c>
      <c r="B456" t="inlineStr">
        <is>
          <t>https://disneypinventory.com/view_item.php?itemID=47419</t>
        </is>
      </c>
      <c r="C456" t="inlineStr">
        <is>
          <t>disneypinventory.com</t>
        </is>
      </c>
      <c r="D456" t="inlineStr">
        <is>
          <t>secondary</t>
        </is>
      </c>
      <c r="E456" t="inlineStr">
        <is>
          <t>search snippet / page</t>
        </is>
      </c>
      <c r="F456" t="inlineStr"/>
      <c r="G456" t="inlineStr"/>
      <c r="H456" t="inlineStr"/>
    </row>
    <row r="457">
      <c r="A457" t="inlineStr">
        <is>
          <t>PHS-0192</t>
        </is>
      </c>
      <c r="B457" t="inlineStr">
        <is>
          <t>https://disneypinventory.com/view_item.php?itemID=47423</t>
        </is>
      </c>
      <c r="C457" t="inlineStr">
        <is>
          <t>disneypinventory.com</t>
        </is>
      </c>
      <c r="D457" t="inlineStr">
        <is>
          <t>secondary</t>
        </is>
      </c>
      <c r="E457" t="inlineStr">
        <is>
          <t>search snippet / page</t>
        </is>
      </c>
      <c r="F457" t="inlineStr"/>
      <c r="G457" t="inlineStr"/>
      <c r="H457" t="inlineStr"/>
    </row>
    <row r="458">
      <c r="A458" t="inlineStr">
        <is>
          <t>PHS-0192</t>
        </is>
      </c>
      <c r="B458" t="inlineStr">
        <is>
          <t>https://mickeyblog.com/2025/10/21/celebrate-70-years-of-disneyland-with-the-new-d23-exclusive-pin-sets/</t>
        </is>
      </c>
      <c r="C458" t="inlineStr">
        <is>
          <t>mickeyblog.com</t>
        </is>
      </c>
      <c r="D458" t="inlineStr">
        <is>
          <t>secondary</t>
        </is>
      </c>
      <c r="E458" t="inlineStr">
        <is>
          <t>search snippet / page</t>
        </is>
      </c>
      <c r="F458" t="inlineStr"/>
      <c r="G458" t="inlineStr"/>
      <c r="H458" t="inlineStr"/>
    </row>
    <row r="459">
      <c r="A459" t="inlineStr">
        <is>
          <t>PHS-0192</t>
        </is>
      </c>
      <c r="B459" t="inlineStr">
        <is>
          <t>https://wdwnt.com/2025/10/new-d23-exclusive-disneyland-70th-anniversary-pin-sets-available-online/</t>
        </is>
      </c>
      <c r="C459" t="inlineStr">
        <is>
          <t>wdwnt.com</t>
        </is>
      </c>
      <c r="D459" t="inlineStr">
        <is>
          <t>secondary</t>
        </is>
      </c>
      <c r="E459" t="inlineStr">
        <is>
          <t>search snippet / page</t>
        </is>
      </c>
      <c r="F459" t="inlineStr"/>
      <c r="G459" t="inlineStr"/>
      <c r="H459" t="inlineStr"/>
    </row>
    <row r="460">
      <c r="A460" t="inlineStr">
        <is>
          <t>PHS-0193</t>
        </is>
      </c>
      <c r="B460" t="inlineStr">
        <is>
          <t>https://mypincentral.com/blog_post/pin-releases-disney-resorts-holiday-snow-globes</t>
        </is>
      </c>
      <c r="C460" t="inlineStr">
        <is>
          <t>mypincentral.com</t>
        </is>
      </c>
      <c r="D460" t="inlineStr">
        <is>
          <t>secondary</t>
        </is>
      </c>
      <c r="E460" t="inlineStr">
        <is>
          <t>search snippet / page</t>
        </is>
      </c>
      <c r="F460" t="inlineStr"/>
      <c r="G460" t="inlineStr"/>
      <c r="H460" t="inlineStr"/>
    </row>
    <row r="461">
      <c r="A461" t="inlineStr">
        <is>
          <t>PHS-0193</t>
        </is>
      </c>
      <c r="B461" t="inlineStr">
        <is>
          <t>https://wdwnt.com/2025/11/disneyland-resort-snow-globe-pins/</t>
        </is>
      </c>
      <c r="C461" t="inlineStr">
        <is>
          <t>wdwnt.com</t>
        </is>
      </c>
      <c r="D461" t="inlineStr">
        <is>
          <t>secondary</t>
        </is>
      </c>
      <c r="E461" t="inlineStr">
        <is>
          <t>search snippet / page</t>
        </is>
      </c>
      <c r="F461" t="inlineStr"/>
      <c r="G461" t="inlineStr"/>
      <c r="H461" t="inlineStr"/>
    </row>
    <row r="462">
      <c r="A462" t="inlineStr">
        <is>
          <t>PHS-0194</t>
        </is>
      </c>
      <c r="B462" t="inlineStr">
        <is>
          <t>https://wdwnt.com/2026/02/disneyland-resort-pin-tuesday-mardi-gras-magical-theater-snow-white-pins-and-more/</t>
        </is>
      </c>
      <c r="C462" t="inlineStr">
        <is>
          <t>wdwnt.com</t>
        </is>
      </c>
      <c r="D462" t="inlineStr">
        <is>
          <t>secondary</t>
        </is>
      </c>
      <c r="E462" t="inlineStr">
        <is>
          <t>search snippet / page</t>
        </is>
      </c>
      <c r="F462" t="inlineStr"/>
      <c r="G462" t="inlineStr"/>
      <c r="H462" t="inlineStr"/>
    </row>
    <row r="463">
      <c r="A463" t="inlineStr">
        <is>
          <t>PHS-0194</t>
        </is>
      </c>
      <c r="B463" t="inlineStr">
        <is>
          <t>https://www.dismerchandise.com/2026/04/07/disneyland-70th-anniversary-vault-collection-pin-set-3-limited-edition-available-online-for-purchase/</t>
        </is>
      </c>
      <c r="C463" t="inlineStr">
        <is>
          <t>dismerchandise.com</t>
        </is>
      </c>
      <c r="D463" t="inlineStr">
        <is>
          <t>secondary</t>
        </is>
      </c>
      <c r="E463" t="inlineStr">
        <is>
          <t>search snippet / page</t>
        </is>
      </c>
      <c r="F463" t="inlineStr"/>
      <c r="G463" t="inlineStr"/>
      <c r="H463" t="inlineStr"/>
    </row>
    <row r="464">
      <c r="A464" t="inlineStr">
        <is>
          <t>PHS-0195</t>
        </is>
      </c>
      <c r="B464" t="inlineStr">
        <is>
          <t>https://disneypinsblog.com/blogs/news/new-disney-pins-october-2026-week-1</t>
        </is>
      </c>
      <c r="C464" t="inlineStr">
        <is>
          <t>disneypinsblog.com</t>
        </is>
      </c>
      <c r="D464" t="inlineStr">
        <is>
          <t>secondary</t>
        </is>
      </c>
      <c r="E464" t="inlineStr">
        <is>
          <t>search snippet / page</t>
        </is>
      </c>
      <c r="F464" t="inlineStr"/>
      <c r="G464" t="inlineStr"/>
      <c r="H464" t="inlineStr"/>
    </row>
    <row r="465">
      <c r="A465" t="inlineStr">
        <is>
          <t>PHS-0195</t>
        </is>
      </c>
      <c r="B465" t="inlineStr">
        <is>
          <t>https://wdwnt.com/2026/10/october-2026-disneyland-pin-release-includes-haunted-mansion-holiday-monsters-inc-25th-anniversary-and-more/</t>
        </is>
      </c>
      <c r="C465" t="inlineStr">
        <is>
          <t>wdwnt.com</t>
        </is>
      </c>
      <c r="D465" t="inlineStr">
        <is>
          <t>secondary</t>
        </is>
      </c>
      <c r="E465" t="inlineStr">
        <is>
          <t>search snippet / page</t>
        </is>
      </c>
      <c r="F465" t="inlineStr"/>
      <c r="G465" t="inlineStr"/>
      <c r="H465" t="inlineStr"/>
    </row>
    <row r="466">
      <c r="A466" t="inlineStr">
        <is>
          <t>PHS-0196</t>
        </is>
      </c>
      <c r="B466" t="inlineStr">
        <is>
          <t>https://wdwnt.com/2026/10/october-2026-disneyland-pin-release-includes-haunted-mansion-holiday-monsters-inc-25th-anniversary-and-more/</t>
        </is>
      </c>
      <c r="C466" t="inlineStr">
        <is>
          <t>wdwnt.com</t>
        </is>
      </c>
      <c r="D466" t="inlineStr">
        <is>
          <t>secondary</t>
        </is>
      </c>
      <c r="E466" t="inlineStr">
        <is>
          <t>search snippet / page</t>
        </is>
      </c>
      <c r="F466" t="inlineStr"/>
      <c r="G466" t="inlineStr"/>
      <c r="H466" t="inlineStr"/>
    </row>
    <row r="467">
      <c r="A467" t="inlineStr">
        <is>
          <t>PHS-0197</t>
        </is>
      </c>
      <c r="B467" t="inlineStr">
        <is>
          <t>https://www.disneystore.co.uk/chip-n-dale-limited-release-christmas-countdown-2024-jumbo-pin-438018035187.html</t>
        </is>
      </c>
      <c r="C467" t="inlineStr">
        <is>
          <t>disneystore.co.uk</t>
        </is>
      </c>
      <c r="D467" t="inlineStr">
        <is>
          <t>official</t>
        </is>
      </c>
      <c r="E467" t="inlineStr">
        <is>
          <t>search snippet / page</t>
        </is>
      </c>
      <c r="F467" t="inlineStr"/>
      <c r="G467" t="inlineStr"/>
      <c r="H467" t="inlineStr"/>
    </row>
    <row r="468">
      <c r="A468" t="inlineStr">
        <is>
          <t>PHS-0197</t>
        </is>
      </c>
      <c r="B468" t="inlineStr">
        <is>
          <t>https://www.disneystore.eu/chip-n-dale-limited-release-christmas-countdown-2024-jumbo-pin-438018035187.html</t>
        </is>
      </c>
      <c r="C468" t="inlineStr">
        <is>
          <t>disneystore.eu</t>
        </is>
      </c>
      <c r="D468" t="inlineStr">
        <is>
          <t>official</t>
        </is>
      </c>
      <c r="E468" t="inlineStr">
        <is>
          <t>search snippet / page</t>
        </is>
      </c>
      <c r="F468" t="inlineStr"/>
      <c r="G468" t="inlineStr"/>
      <c r="H468" t="inlineStr"/>
    </row>
    <row r="469">
      <c r="A469" t="inlineStr">
        <is>
          <t>PHS-0197</t>
        </is>
      </c>
      <c r="B469" t="inlineStr">
        <is>
          <t>https://wdwnt.com/2024/10/christmas-2024-pins-at-walt-disney-world/</t>
        </is>
      </c>
      <c r="C469" t="inlineStr">
        <is>
          <t>wdwnt.com</t>
        </is>
      </c>
      <c r="D469" t="inlineStr">
        <is>
          <t>secondary</t>
        </is>
      </c>
      <c r="E469" t="inlineStr">
        <is>
          <t>search snippet / page</t>
        </is>
      </c>
      <c r="F469" t="inlineStr"/>
      <c r="G469" t="inlineStr"/>
      <c r="H469" t="inlineStr"/>
    </row>
    <row r="470">
      <c r="A470" t="inlineStr">
        <is>
          <t>PHS-0197</t>
        </is>
      </c>
      <c r="B470" t="inlineStr">
        <is>
          <t>https://www.laughingplace.com/w/disney-merchandise/holidays-pins-available-at-disney-store/</t>
        </is>
      </c>
      <c r="C470" t="inlineStr">
        <is>
          <t>laughingplace.com</t>
        </is>
      </c>
      <c r="D470" t="inlineStr">
        <is>
          <t>secondary</t>
        </is>
      </c>
      <c r="E470" t="inlineStr">
        <is>
          <t>search snippet / page</t>
        </is>
      </c>
      <c r="F470" t="inlineStr"/>
      <c r="G470" t="inlineStr"/>
      <c r="H470" t="inlineStr"/>
    </row>
    <row r="471">
      <c r="A471" t="inlineStr">
        <is>
          <t>PHS-0198</t>
        </is>
      </c>
      <c r="B471" t="inlineStr">
        <is>
          <t>https://www.disneystore.co.uk/chip-n-dale-new-years-eve-2024-limited-release-pin-438017458758.html</t>
        </is>
      </c>
      <c r="C471" t="inlineStr">
        <is>
          <t>disneystore.co.uk</t>
        </is>
      </c>
      <c r="D471" t="inlineStr">
        <is>
          <t>official</t>
        </is>
      </c>
      <c r="E471" t="inlineStr">
        <is>
          <t>search snippet / page</t>
        </is>
      </c>
      <c r="F471" t="inlineStr"/>
      <c r="G471" t="inlineStr"/>
      <c r="H471" t="inlineStr"/>
    </row>
    <row r="472">
      <c r="A472" t="inlineStr">
        <is>
          <t>PHS-0198</t>
        </is>
      </c>
      <c r="B472" t="inlineStr">
        <is>
          <t>https://www.disneystore.eu/chip-n-dale-new-years-eve-2024-limited-release-pin-438017458758.html</t>
        </is>
      </c>
      <c r="C472" t="inlineStr">
        <is>
          <t>disneystore.eu</t>
        </is>
      </c>
      <c r="D472" t="inlineStr">
        <is>
          <t>official</t>
        </is>
      </c>
      <c r="E472" t="inlineStr">
        <is>
          <t>search snippet / page</t>
        </is>
      </c>
      <c r="F472" t="inlineStr"/>
      <c r="G472" t="inlineStr"/>
      <c r="H472" t="inlineStr"/>
    </row>
    <row r="473">
      <c r="A473" t="inlineStr">
        <is>
          <t>PHS-0199</t>
        </is>
      </c>
      <c r="B473" t="inlineStr">
        <is>
          <t>https://www.disneystore.eu/encanto-limited-edition-mystery-puzzle-pin-438018033930.html</t>
        </is>
      </c>
      <c r="C473" t="inlineStr">
        <is>
          <t>disneystore.eu</t>
        </is>
      </c>
      <c r="D473" t="inlineStr">
        <is>
          <t>official</t>
        </is>
      </c>
      <c r="E473" t="inlineStr">
        <is>
          <t>search snippet / page</t>
        </is>
      </c>
      <c r="F473" t="inlineStr"/>
      <c r="G473" t="inlineStr"/>
      <c r="H473" t="inlineStr"/>
    </row>
    <row r="474">
      <c r="A474" t="inlineStr">
        <is>
          <t>PHS-0199</t>
        </is>
      </c>
      <c r="B474" t="inlineStr">
        <is>
          <t>https://disneypinventory.com/view_item.php?itemID=39478</t>
        </is>
      </c>
      <c r="C474" t="inlineStr">
        <is>
          <t>disneypinventory.com</t>
        </is>
      </c>
      <c r="D474" t="inlineStr">
        <is>
          <t>secondary</t>
        </is>
      </c>
      <c r="E474" t="inlineStr">
        <is>
          <t>search snippet / page</t>
        </is>
      </c>
      <c r="F474" t="inlineStr"/>
      <c r="G474" t="inlineStr"/>
      <c r="H474" t="inlineStr"/>
    </row>
    <row r="475">
      <c r="A475" t="inlineStr">
        <is>
          <t>PHS-0200</t>
        </is>
      </c>
      <c r="B475" t="inlineStr">
        <is>
          <t>https://www.disneystore.co.uk/anxiety-limited-release-pin-inside-out-2-438017778788.html</t>
        </is>
      </c>
      <c r="C475" t="inlineStr">
        <is>
          <t>disneystore.co.uk</t>
        </is>
      </c>
      <c r="D475" t="inlineStr">
        <is>
          <t>official</t>
        </is>
      </c>
      <c r="E475" t="inlineStr">
        <is>
          <t>search snippet / page</t>
        </is>
      </c>
      <c r="F475" t="inlineStr"/>
      <c r="G475" t="inlineStr"/>
      <c r="H475" t="inlineStr"/>
    </row>
    <row r="476">
      <c r="A476" t="inlineStr">
        <is>
          <t>PHS-0200</t>
        </is>
      </c>
      <c r="B476" t="inlineStr">
        <is>
          <t>https://www.disneystore.eu/anxiety-limited-release-pin-inside-out-2-438017778788.html</t>
        </is>
      </c>
      <c r="C476" t="inlineStr">
        <is>
          <t>disneystore.eu</t>
        </is>
      </c>
      <c r="D476" t="inlineStr">
        <is>
          <t>official</t>
        </is>
      </c>
      <c r="E476" t="inlineStr">
        <is>
          <t>search snippet / page</t>
        </is>
      </c>
      <c r="F476" t="inlineStr"/>
      <c r="G476" t="inlineStr"/>
      <c r="H476" t="inlineStr"/>
    </row>
    <row r="477">
      <c r="A477" t="inlineStr">
        <is>
          <t>PHS-0201</t>
        </is>
      </c>
      <c r="B477" t="inlineStr">
        <is>
          <t>https://www.disneystore.co.uk/inside-out-2-current-mood-limited-release-spinner-pin-438017778948.html</t>
        </is>
      </c>
      <c r="C477" t="inlineStr">
        <is>
          <t>disneystore.co.uk</t>
        </is>
      </c>
      <c r="D477" t="inlineStr">
        <is>
          <t>official</t>
        </is>
      </c>
      <c r="E477" t="inlineStr">
        <is>
          <t>search snippet / page</t>
        </is>
      </c>
      <c r="F477" t="inlineStr"/>
      <c r="G477" t="inlineStr"/>
      <c r="H477" t="inlineStr"/>
    </row>
    <row r="478">
      <c r="A478" t="inlineStr">
        <is>
          <t>PHS-0201</t>
        </is>
      </c>
      <c r="B478" t="inlineStr">
        <is>
          <t>https://www.disneystore.eu/inside-out-2-current-mood-limited-release-spinner-pin-438017778948.html</t>
        </is>
      </c>
      <c r="C478" t="inlineStr">
        <is>
          <t>disneystore.eu</t>
        </is>
      </c>
      <c r="D478" t="inlineStr">
        <is>
          <t>official</t>
        </is>
      </c>
      <c r="E478" t="inlineStr">
        <is>
          <t>search snippet / page</t>
        </is>
      </c>
      <c r="F478" t="inlineStr"/>
      <c r="G478" t="inlineStr"/>
      <c r="H478" t="inlineStr"/>
    </row>
    <row r="479">
      <c r="A479" t="inlineStr">
        <is>
          <t>PHS-0202</t>
        </is>
      </c>
      <c r="B479" t="inlineStr">
        <is>
          <t>https://www.disneystore.co.uk/moana-simea-pua-and-hei-hei-limited-release-pin-moana-2-438018112550.html</t>
        </is>
      </c>
      <c r="C479" t="inlineStr">
        <is>
          <t>disneystore.co.uk</t>
        </is>
      </c>
      <c r="D479" t="inlineStr">
        <is>
          <t>official</t>
        </is>
      </c>
      <c r="E479" t="inlineStr">
        <is>
          <t>search snippet / page</t>
        </is>
      </c>
      <c r="F479" t="inlineStr"/>
      <c r="G479" t="inlineStr"/>
      <c r="H479" t="inlineStr"/>
    </row>
    <row r="480">
      <c r="A480" t="inlineStr">
        <is>
          <t>PHS-0202</t>
        </is>
      </c>
      <c r="B480" t="inlineStr">
        <is>
          <t>https://disneypinventory.com/view_item.php?itemID=39787</t>
        </is>
      </c>
      <c r="C480" t="inlineStr">
        <is>
          <t>disneypinventory.com</t>
        </is>
      </c>
      <c r="D480" t="inlineStr">
        <is>
          <t>secondary</t>
        </is>
      </c>
      <c r="E480" t="inlineStr">
        <is>
          <t>search snippet / page</t>
        </is>
      </c>
      <c r="F480" t="inlineStr"/>
      <c r="G480" t="inlineStr"/>
      <c r="H480" t="inlineStr"/>
    </row>
    <row r="481">
      <c r="A481" t="inlineStr">
        <is>
          <t>PHS-0202</t>
        </is>
      </c>
      <c r="B481" t="inlineStr">
        <is>
          <t>https://insidethemagic.net/2024/11/limited-release-disney-pins-you-wont-want-to-miss-perfect-collectors-ir1/</t>
        </is>
      </c>
      <c r="C481" t="inlineStr">
        <is>
          <t>insidethemagic.net</t>
        </is>
      </c>
      <c r="D481" t="inlineStr">
        <is>
          <t>secondary</t>
        </is>
      </c>
      <c r="E481" t="inlineStr">
        <is>
          <t>search snippet / page</t>
        </is>
      </c>
      <c r="F481" t="inlineStr"/>
      <c r="G481" t="inlineStr"/>
      <c r="H481" t="inlineStr"/>
    </row>
    <row r="482">
      <c r="A482" t="inlineStr">
        <is>
          <t>PHS-0202</t>
        </is>
      </c>
      <c r="B482" t="inlineStr">
        <is>
          <t>https://www.extramagicminutes.com/blog/moana-2-collection-disney-store-2024</t>
        </is>
      </c>
      <c r="C482" t="inlineStr">
        <is>
          <t>extramagicminutes.com</t>
        </is>
      </c>
      <c r="D482" t="inlineStr">
        <is>
          <t>secondary</t>
        </is>
      </c>
      <c r="E482" t="inlineStr">
        <is>
          <t>search snippet / page</t>
        </is>
      </c>
      <c r="F482" t="inlineStr"/>
      <c r="G482" t="inlineStr"/>
      <c r="H482" t="inlineStr"/>
    </row>
    <row r="483">
      <c r="A483" t="inlineStr">
        <is>
          <t>PHS-0203</t>
        </is>
      </c>
      <c r="B483" t="inlineStr">
        <is>
          <t>https://www.disneystore.co.uk/the-muppets-haunted-mansion-puzzle-piece-limited-edition-mystery-pin-438017894693.html</t>
        </is>
      </c>
      <c r="C483" t="inlineStr">
        <is>
          <t>disneystore.co.uk</t>
        </is>
      </c>
      <c r="D483" t="inlineStr">
        <is>
          <t>official</t>
        </is>
      </c>
      <c r="E483" t="inlineStr">
        <is>
          <t>search snippet / page</t>
        </is>
      </c>
      <c r="F483" t="inlineStr"/>
      <c r="G483" t="inlineStr"/>
      <c r="H483" t="inlineStr"/>
    </row>
    <row r="484">
      <c r="A484" t="inlineStr">
        <is>
          <t>PHS-0203</t>
        </is>
      </c>
      <c r="B484" t="inlineStr">
        <is>
          <t>https://www.disneystore.eu/the-muppets-haunted-mansion-puzzle-piece-limited-edition-mystery-pin-438017894693.html</t>
        </is>
      </c>
      <c r="C484" t="inlineStr">
        <is>
          <t>disneystore.eu</t>
        </is>
      </c>
      <c r="D484" t="inlineStr">
        <is>
          <t>official</t>
        </is>
      </c>
      <c r="E484" t="inlineStr">
        <is>
          <t>search snippet / page</t>
        </is>
      </c>
      <c r="F484" t="inlineStr"/>
      <c r="G484" t="inlineStr"/>
      <c r="H484" t="inlineStr"/>
    </row>
    <row r="485">
      <c r="A485" t="inlineStr">
        <is>
          <t>PHS-0203</t>
        </is>
      </c>
      <c r="B485" t="inlineStr">
        <is>
          <t>https://muppet.fandom.com/wiki/Muppets_Haunted_Mansion_pins</t>
        </is>
      </c>
      <c r="C485" t="inlineStr">
        <is>
          <t>muppet.fandom.com</t>
        </is>
      </c>
      <c r="D485" t="inlineStr">
        <is>
          <t>secondary</t>
        </is>
      </c>
      <c r="E485" t="inlineStr">
        <is>
          <t>search snippet / page</t>
        </is>
      </c>
      <c r="F485" t="inlineStr"/>
      <c r="G485" t="inlineStr"/>
      <c r="H485" t="inlineStr"/>
    </row>
    <row r="486">
      <c r="A486" t="inlineStr">
        <is>
          <t>PHS-0204</t>
        </is>
      </c>
      <c r="B486" t="inlineStr">
        <is>
          <t>https://www.disneystore.co.uk/santa-mickey-mouse-limited-edition-festive-pin-2024-438038039301.html</t>
        </is>
      </c>
      <c r="C486" t="inlineStr">
        <is>
          <t>disneystore.co.uk</t>
        </is>
      </c>
      <c r="D486" t="inlineStr">
        <is>
          <t>official</t>
        </is>
      </c>
      <c r="E486" t="inlineStr">
        <is>
          <t>search snippet / page</t>
        </is>
      </c>
      <c r="F486" t="inlineStr"/>
      <c r="G486" t="inlineStr"/>
      <c r="H486" t="inlineStr"/>
    </row>
    <row r="487">
      <c r="A487" t="inlineStr">
        <is>
          <t>PHS-0204</t>
        </is>
      </c>
      <c r="B487" t="inlineStr">
        <is>
          <t>https://disneypinsblog.com/santa-mickey-mouse-holiday-2024-pin-at-disney-store/</t>
        </is>
      </c>
      <c r="C487" t="inlineStr">
        <is>
          <t>disneypinsblog.com</t>
        </is>
      </c>
      <c r="D487" t="inlineStr">
        <is>
          <t>secondary</t>
        </is>
      </c>
      <c r="E487" t="inlineStr">
        <is>
          <t>search snippet / page</t>
        </is>
      </c>
      <c r="F487" t="inlineStr"/>
      <c r="G487" t="inlineStr"/>
      <c r="H487" t="inlineStr"/>
    </row>
    <row r="488">
      <c r="A488" t="inlineStr">
        <is>
          <t>PHS-0205</t>
        </is>
      </c>
      <c r="B488" t="inlineStr">
        <is>
          <t>https://www.disneystore.co.uk/donald-duck-st.-patricks-day-2024-limited-release-pin-438017643550.html</t>
        </is>
      </c>
      <c r="C488" t="inlineStr">
        <is>
          <t>disneystore.co.uk</t>
        </is>
      </c>
      <c r="D488" t="inlineStr">
        <is>
          <t>official</t>
        </is>
      </c>
      <c r="E488" t="inlineStr">
        <is>
          <t>search snippet / page</t>
        </is>
      </c>
      <c r="F488" t="inlineStr"/>
      <c r="G488" t="inlineStr"/>
      <c r="H488" t="inlineStr"/>
    </row>
    <row r="489">
      <c r="A489" t="inlineStr">
        <is>
          <t>PHS-0205</t>
        </is>
      </c>
      <c r="B489" t="inlineStr">
        <is>
          <t>https://www.disneystore.eu/donald-duck-st.-patricks-day-2024-limited-release-pin-438017643550.html</t>
        </is>
      </c>
      <c r="C489" t="inlineStr">
        <is>
          <t>disneystore.eu</t>
        </is>
      </c>
      <c r="D489" t="inlineStr">
        <is>
          <t>official</t>
        </is>
      </c>
      <c r="E489" t="inlineStr">
        <is>
          <t>search snippet / page</t>
        </is>
      </c>
      <c r="F489" t="inlineStr"/>
      <c r="G489" t="inlineStr"/>
      <c r="H489" t="inlineStr"/>
    </row>
    <row r="490">
      <c r="A490" t="inlineStr">
        <is>
          <t>PHS-0206</t>
        </is>
      </c>
      <c r="B490" t="inlineStr">
        <is>
          <t>https://www.disneystore.co.uk/walt-disney-and-mickey-mouse-limited-release-pin-walt-disney-day-2024-438018126427.html</t>
        </is>
      </c>
      <c r="C490" t="inlineStr">
        <is>
          <t>disneystore.co.uk</t>
        </is>
      </c>
      <c r="D490" t="inlineStr">
        <is>
          <t>official</t>
        </is>
      </c>
      <c r="E490" t="inlineStr">
        <is>
          <t>search snippet / page</t>
        </is>
      </c>
      <c r="F490" t="inlineStr"/>
      <c r="G490" t="inlineStr"/>
      <c r="H490" t="inlineStr"/>
    </row>
    <row r="491">
      <c r="A491" t="inlineStr">
        <is>
          <t>PHS-0206</t>
        </is>
      </c>
      <c r="B491" t="inlineStr">
        <is>
          <t>https://www.disneystore.eu/walt-disney-and-mickey-mouse-limited-release-pin-walt-disney-day-2024-438018126427.html</t>
        </is>
      </c>
      <c r="C491" t="inlineStr">
        <is>
          <t>disneystore.eu</t>
        </is>
      </c>
      <c r="D491" t="inlineStr">
        <is>
          <t>official</t>
        </is>
      </c>
      <c r="E491" t="inlineStr">
        <is>
          <t>search snippet / page</t>
        </is>
      </c>
      <c r="F491" t="inlineStr"/>
      <c r="G491" t="inlineStr"/>
      <c r="H491" t="inlineStr"/>
    </row>
    <row r="492">
      <c r="A492" t="inlineStr">
        <is>
          <t>PHS-0207</t>
        </is>
      </c>
      <c r="B492" t="inlineStr">
        <is>
          <t>https://www.disneystore.co.uk/aladdin-happily-ever-after-limited-edition-slider-pin-5-of-12-438019572490.html</t>
        </is>
      </c>
      <c r="C492" t="inlineStr">
        <is>
          <t>disneystore.co.uk</t>
        </is>
      </c>
      <c r="D492" t="inlineStr">
        <is>
          <t>official</t>
        </is>
      </c>
      <c r="E492" t="inlineStr">
        <is>
          <t>search snippet / page</t>
        </is>
      </c>
      <c r="F492" t="inlineStr"/>
      <c r="G492" t="inlineStr"/>
      <c r="H492" t="inlineStr"/>
    </row>
    <row r="493">
      <c r="A493" t="inlineStr">
        <is>
          <t>PHS-0207</t>
        </is>
      </c>
      <c r="B493" t="inlineStr">
        <is>
          <t>https://www.disneystore.co.uk/beauty-and-the-beast-happily-ever-after-limited-edition-slider-pin-4-of-12-438019582055.html</t>
        </is>
      </c>
      <c r="C493" t="inlineStr">
        <is>
          <t>disneystore.co.uk</t>
        </is>
      </c>
      <c r="D493" t="inlineStr">
        <is>
          <t>official</t>
        </is>
      </c>
      <c r="E493" t="inlineStr">
        <is>
          <t>search snippet / page</t>
        </is>
      </c>
      <c r="F493" t="inlineStr"/>
      <c r="G493" t="inlineStr"/>
      <c r="H493" t="inlineStr"/>
    </row>
    <row r="494">
      <c r="A494" t="inlineStr">
        <is>
          <t>PHS-0207</t>
        </is>
      </c>
      <c r="B494" t="inlineStr">
        <is>
          <t>https://www.disneystore.co.uk/hercules-happily-ever-after-limited-edition-slider-pin-6-of-12-438019577020.html</t>
        </is>
      </c>
      <c r="C494" t="inlineStr">
        <is>
          <t>disneystore.co.uk</t>
        </is>
      </c>
      <c r="D494" t="inlineStr">
        <is>
          <t>official</t>
        </is>
      </c>
      <c r="E494" t="inlineStr">
        <is>
          <t>search snippet / page</t>
        </is>
      </c>
      <c r="F494" t="inlineStr"/>
      <c r="G494" t="inlineStr"/>
      <c r="H494" t="inlineStr"/>
    </row>
    <row r="495">
      <c r="A495" t="inlineStr">
        <is>
          <t>PHS-0207</t>
        </is>
      </c>
      <c r="B495" t="inlineStr">
        <is>
          <t>https://www.disneystore.co.uk/robin-hood-happily-ever-after-limited-edition-slider-pin-10-of-12-438010168135.html</t>
        </is>
      </c>
      <c r="C495" t="inlineStr">
        <is>
          <t>disneystore.co.uk</t>
        </is>
      </c>
      <c r="D495" t="inlineStr">
        <is>
          <t>official</t>
        </is>
      </c>
      <c r="E495" t="inlineStr">
        <is>
          <t>search snippet / page</t>
        </is>
      </c>
      <c r="F495" t="inlineStr"/>
      <c r="G495" t="inlineStr"/>
      <c r="H495" t="inlineStr"/>
    </row>
    <row r="496">
      <c r="A496" t="inlineStr">
        <is>
          <t>PHS-0207</t>
        </is>
      </c>
      <c r="B496" t="inlineStr">
        <is>
          <t>https://www.disneystore.co.uk/sleeping-beauty-happily-ever-after-limited-edition-slider-pin-9-of-12-438019869668.html</t>
        </is>
      </c>
      <c r="C496" t="inlineStr">
        <is>
          <t>disneystore.co.uk</t>
        </is>
      </c>
      <c r="D496" t="inlineStr">
        <is>
          <t>official</t>
        </is>
      </c>
      <c r="E496" t="inlineStr">
        <is>
          <t>search snippet / page</t>
        </is>
      </c>
      <c r="F496" t="inlineStr"/>
      <c r="G496" t="inlineStr"/>
      <c r="H496" t="inlineStr"/>
    </row>
    <row r="497">
      <c r="A497" t="inlineStr">
        <is>
          <t>PHS-0207</t>
        </is>
      </c>
      <c r="B497" t="inlineStr">
        <is>
          <t>https://www.disneystore.co.uk/the-lion-king-happily-ever-after-limited-edition-slider-pin-3-of-12-438018215855.html</t>
        </is>
      </c>
      <c r="C497" t="inlineStr">
        <is>
          <t>disneystore.co.uk</t>
        </is>
      </c>
      <c r="D497" t="inlineStr">
        <is>
          <t>official</t>
        </is>
      </c>
      <c r="E497" t="inlineStr">
        <is>
          <t>search snippet / page</t>
        </is>
      </c>
      <c r="F497" t="inlineStr"/>
      <c r="G497" t="inlineStr"/>
      <c r="H497" t="inlineStr"/>
    </row>
    <row r="498">
      <c r="A498" t="inlineStr">
        <is>
          <t>PHS-0208</t>
        </is>
      </c>
      <c r="B498" t="inlineStr">
        <is>
          <t>https://www.disneystore.co.uk/kanga-and-roo-mothers-day-2025-limited-edition-pin-winnie-the-pooh-438018204620.html</t>
        </is>
      </c>
      <c r="C498" t="inlineStr">
        <is>
          <t>disneystore.co.uk</t>
        </is>
      </c>
      <c r="D498" t="inlineStr">
        <is>
          <t>official</t>
        </is>
      </c>
      <c r="E498" t="inlineStr">
        <is>
          <t>search snippet / page</t>
        </is>
      </c>
      <c r="F498" t="inlineStr"/>
      <c r="G498" t="inlineStr"/>
      <c r="H498" t="inlineStr"/>
    </row>
    <row r="499">
      <c r="A499" t="inlineStr">
        <is>
          <t>PHS-0208</t>
        </is>
      </c>
      <c r="B499" t="inlineStr">
        <is>
          <t>https://www.disneystore.eu/kanga-and-roo-mothers-day-2025-limited-edition-pin-winnie-the-pooh-438018204620.html</t>
        </is>
      </c>
      <c r="C499" t="inlineStr">
        <is>
          <t>disneystore.eu</t>
        </is>
      </c>
      <c r="D499" t="inlineStr">
        <is>
          <t>official</t>
        </is>
      </c>
      <c r="E499" t="inlineStr">
        <is>
          <t>search snippet / page</t>
        </is>
      </c>
      <c r="F499" t="inlineStr"/>
      <c r="G499" t="inlineStr"/>
      <c r="H499" t="inlineStr"/>
    </row>
    <row r="500">
      <c r="A500" t="inlineStr">
        <is>
          <t>PHS-0208</t>
        </is>
      </c>
      <c r="B500" t="inlineStr">
        <is>
          <t>https://www.extramagicminutes.com/disney-store-uk/disney-pin-collection-disney-store-uk-2025</t>
        </is>
      </c>
      <c r="C500" t="inlineStr">
        <is>
          <t>extramagicminutes.com</t>
        </is>
      </c>
      <c r="D500" t="inlineStr">
        <is>
          <t>secondary</t>
        </is>
      </c>
      <c r="E500" t="inlineStr">
        <is>
          <t>search snippet / page</t>
        </is>
      </c>
      <c r="F500" t="inlineStr"/>
      <c r="G500" t="inlineStr"/>
      <c r="H500" t="inlineStr"/>
    </row>
    <row r="501">
      <c r="A501" t="inlineStr">
        <is>
          <t>PHS-0209</t>
        </is>
      </c>
      <c r="B501" t="inlineStr">
        <is>
          <t>https://www.disneystore.co.uk/stitch-st.-patricks-day-2025-limited-release-slider-pin-lilo-and-stitch-438018203715.html</t>
        </is>
      </c>
      <c r="C501" t="inlineStr">
        <is>
          <t>disneystore.co.uk</t>
        </is>
      </c>
      <c r="D501" t="inlineStr">
        <is>
          <t>official</t>
        </is>
      </c>
      <c r="E501" t="inlineStr">
        <is>
          <t>search snippet / page</t>
        </is>
      </c>
      <c r="F501" t="inlineStr"/>
      <c r="G501" t="inlineStr"/>
      <c r="H501" t="inlineStr"/>
    </row>
    <row r="502">
      <c r="A502" t="inlineStr">
        <is>
          <t>PHS-0209</t>
        </is>
      </c>
      <c r="B502" t="inlineStr">
        <is>
          <t>https://www.disneystore.com/stitch-st.-patricks-day-2025-slider-pin-lilo-stitch-limited-release-438013644902.html</t>
        </is>
      </c>
      <c r="C502" t="inlineStr">
        <is>
          <t>disneystore.com</t>
        </is>
      </c>
      <c r="D502" t="inlineStr">
        <is>
          <t>official</t>
        </is>
      </c>
      <c r="E502" t="inlineStr">
        <is>
          <t>search snippet / page</t>
        </is>
      </c>
      <c r="F502" t="inlineStr"/>
      <c r="G502" t="inlineStr"/>
      <c r="H502" t="inlineStr"/>
    </row>
    <row r="503">
      <c r="A503" t="inlineStr">
        <is>
          <t>PHS-0209</t>
        </is>
      </c>
      <c r="B503" t="inlineStr">
        <is>
          <t>https://www.disneystore.eu/stitch-st.-patricks-day-2025-limited-release-slider-pin-lilo-and-stitch-438018203715.html</t>
        </is>
      </c>
      <c r="C503" t="inlineStr">
        <is>
          <t>disneystore.eu</t>
        </is>
      </c>
      <c r="D503" t="inlineStr">
        <is>
          <t>official</t>
        </is>
      </c>
      <c r="E503" t="inlineStr">
        <is>
          <t>search snippet / page</t>
        </is>
      </c>
      <c r="F503" t="inlineStr"/>
      <c r="G503" t="inlineStr"/>
      <c r="H503" t="inlineStr"/>
    </row>
    <row r="504">
      <c r="A504" t="inlineStr">
        <is>
          <t>PHS-0209</t>
        </is>
      </c>
      <c r="B504" t="inlineStr">
        <is>
          <t>https://www.wdwinfo.com/disney-merchandise/get-your-new-stitch-st-patricks-day-2025-slider-pin/</t>
        </is>
      </c>
      <c r="C504" t="inlineStr">
        <is>
          <t>wdwinfo.com</t>
        </is>
      </c>
      <c r="D504" t="inlineStr">
        <is>
          <t>secondary</t>
        </is>
      </c>
      <c r="E504" t="inlineStr">
        <is>
          <t>search snippet / page</t>
        </is>
      </c>
      <c r="F504" t="inlineStr"/>
      <c r="G504" t="inlineStr"/>
      <c r="H504" t="inlineStr"/>
    </row>
    <row r="505">
      <c r="A505" t="inlineStr">
        <is>
          <t>PHS-0210</t>
        </is>
      </c>
      <c r="B505" t="inlineStr">
        <is>
          <t>https://www.disneystore.co.uk/toy-story-30th-anniversary-limited-edition-pin-set-438010169873.html</t>
        </is>
      </c>
      <c r="C505" t="inlineStr">
        <is>
          <t>disneystore.co.uk</t>
        </is>
      </c>
      <c r="D505" t="inlineStr">
        <is>
          <t>official</t>
        </is>
      </c>
      <c r="E505" t="inlineStr">
        <is>
          <t>search snippet / page</t>
        </is>
      </c>
      <c r="F505" t="inlineStr"/>
      <c r="G505" t="inlineStr"/>
      <c r="H505" t="inlineStr"/>
    </row>
    <row r="506">
      <c r="A506" t="inlineStr">
        <is>
          <t>PHS-0210</t>
        </is>
      </c>
      <c r="B506" t="inlineStr">
        <is>
          <t>https://www.disneystore.eu/toy-story-30th-anniversary-limited-edition-pin-set-438010169873.html</t>
        </is>
      </c>
      <c r="C506" t="inlineStr">
        <is>
          <t>disneystore.eu</t>
        </is>
      </c>
      <c r="D506" t="inlineStr">
        <is>
          <t>official</t>
        </is>
      </c>
      <c r="E506" t="inlineStr">
        <is>
          <t>search snippet / page</t>
        </is>
      </c>
      <c r="F506" t="inlineStr"/>
      <c r="G506" t="inlineStr"/>
      <c r="H506" t="inlineStr"/>
    </row>
    <row r="507">
      <c r="A507" t="inlineStr">
        <is>
          <t>PHS-0211</t>
        </is>
      </c>
      <c r="B507" t="inlineStr">
        <is>
          <t>https://www.disneystore.co.uk/toys-story-30th-anniversary-limited-release-pin-438010169613.html</t>
        </is>
      </c>
      <c r="C507" t="inlineStr">
        <is>
          <t>disneystore.co.uk</t>
        </is>
      </c>
      <c r="D507" t="inlineStr">
        <is>
          <t>official</t>
        </is>
      </c>
      <c r="E507" t="inlineStr">
        <is>
          <t>search snippet / page</t>
        </is>
      </c>
      <c r="F507" t="inlineStr"/>
      <c r="G507" t="inlineStr"/>
      <c r="H507" t="inlineStr"/>
    </row>
    <row r="508">
      <c r="A508" t="inlineStr">
        <is>
          <t>PHS-0211</t>
        </is>
      </c>
      <c r="B508" t="inlineStr">
        <is>
          <t>https://www.disneystore.eu/toys-story-30th-anniversary-limited-release-pin-438010169613.html</t>
        </is>
      </c>
      <c r="C508" t="inlineStr">
        <is>
          <t>disneystore.eu</t>
        </is>
      </c>
      <c r="D508" t="inlineStr">
        <is>
          <t>official</t>
        </is>
      </c>
      <c r="E508" t="inlineStr">
        <is>
          <t>search snippet / page</t>
        </is>
      </c>
      <c r="F508" t="inlineStr"/>
      <c r="G508" t="inlineStr"/>
      <c r="H508" t="inlineStr"/>
    </row>
    <row r="509">
      <c r="A509" t="inlineStr">
        <is>
          <t>PHS-0212</t>
        </is>
      </c>
      <c r="B509" t="inlineStr">
        <is>
          <t>https://www.disneystore.co.uk/valentines-day-limited-release-mystery-pin-set-438010543840.html</t>
        </is>
      </c>
      <c r="C509" t="inlineStr">
        <is>
          <t>disneystore.co.uk</t>
        </is>
      </c>
      <c r="D509" t="inlineStr">
        <is>
          <t>official</t>
        </is>
      </c>
      <c r="E509" t="inlineStr">
        <is>
          <t>search snippet / page</t>
        </is>
      </c>
      <c r="F509" t="inlineStr"/>
      <c r="G509" t="inlineStr"/>
      <c r="H509" t="inlineStr"/>
    </row>
    <row r="510">
      <c r="A510" t="inlineStr">
        <is>
          <t>PHS-0212</t>
        </is>
      </c>
      <c r="B510" t="inlineStr">
        <is>
          <t>https://www.disneystore.com.au/disney-valentines-day-2026-mystery-2-piece-pin-blind-pack-438010543840.html</t>
        </is>
      </c>
      <c r="C510" t="inlineStr">
        <is>
          <t>disneystore.com.au</t>
        </is>
      </c>
      <c r="D510" t="inlineStr">
        <is>
          <t>official</t>
        </is>
      </c>
      <c r="E510" t="inlineStr">
        <is>
          <t>search snippet / page</t>
        </is>
      </c>
      <c r="F510" t="inlineStr"/>
      <c r="G510" t="inlineStr"/>
      <c r="H510" t="inlineStr"/>
    </row>
    <row r="511">
      <c r="A511" t="inlineStr">
        <is>
          <t>PHS-0212</t>
        </is>
      </c>
      <c r="B511" t="inlineStr">
        <is>
          <t>https://www.disneystore.eu/valentines-day-limited-release-mystery-pin-set-438010543840.html</t>
        </is>
      </c>
      <c r="C511" t="inlineStr">
        <is>
          <t>disneystore.eu</t>
        </is>
      </c>
      <c r="D511" t="inlineStr">
        <is>
          <t>official</t>
        </is>
      </c>
      <c r="E511" t="inlineStr">
        <is>
          <t>search snippet / page</t>
        </is>
      </c>
      <c r="F511" t="inlineStr"/>
      <c r="G511" t="inlineStr"/>
      <c r="H511" t="inlineStr"/>
    </row>
    <row r="512">
      <c r="A512" t="inlineStr">
        <is>
          <t>PHS-0212</t>
        </is>
      </c>
      <c r="B512" t="inlineStr">
        <is>
          <t>https://disneymouseketeer.com/disney-valentines-day-2026-pins/</t>
        </is>
      </c>
      <c r="C512" t="inlineStr">
        <is>
          <t>disneymouseketeer.com</t>
        </is>
      </c>
      <c r="D512" t="inlineStr">
        <is>
          <t>secondary</t>
        </is>
      </c>
      <c r="E512" t="inlineStr">
        <is>
          <t>search snippet / page</t>
        </is>
      </c>
      <c r="F512" t="inlineStr"/>
      <c r="G512" t="inlineStr"/>
      <c r="H512" t="inlineStr"/>
    </row>
    <row r="513">
      <c r="A513" t="inlineStr">
        <is>
          <t>PHS-0212</t>
        </is>
      </c>
      <c r="B513" t="inlineStr">
        <is>
          <t>https://wdwnt.com/2026/01/disney-world-pin-tuesday-deadpool-10th-anniversary-valentines-day-pins/</t>
        </is>
      </c>
      <c r="C513" t="inlineStr">
        <is>
          <t>wdwnt.com</t>
        </is>
      </c>
      <c r="D513" t="inlineStr">
        <is>
          <t>secondary</t>
        </is>
      </c>
      <c r="E513" t="inlineStr">
        <is>
          <t>search snippet / page</t>
        </is>
      </c>
      <c r="F513" t="inlineStr"/>
      <c r="G513" t="inlineStr"/>
      <c r="H513" t="inlineStr"/>
    </row>
    <row r="514">
      <c r="A514" t="inlineStr">
        <is>
          <t>PHS-0213</t>
        </is>
      </c>
      <c r="B514" t="inlineStr">
        <is>
          <t>https://www.disneystore.co.uk/mushu-lunar-new-year-2024-limited-release-pin-mulan-438017520530.html</t>
        </is>
      </c>
      <c r="C514" t="inlineStr">
        <is>
          <t>disneystore.co.uk</t>
        </is>
      </c>
      <c r="D514" t="inlineStr">
        <is>
          <t>official</t>
        </is>
      </c>
      <c r="E514" t="inlineStr">
        <is>
          <t>search snippet / page</t>
        </is>
      </c>
      <c r="F514" t="inlineStr"/>
      <c r="G514" t="inlineStr"/>
      <c r="H514" t="inlineStr"/>
    </row>
    <row r="515">
      <c r="A515" t="inlineStr">
        <is>
          <t>PHS-0213</t>
        </is>
      </c>
      <c r="B515" t="inlineStr">
        <is>
          <t>https://www.disneystore.eu/mushu-lunar-new-year-2024-limited-release-pin-mulan-438017520530.html</t>
        </is>
      </c>
      <c r="C515" t="inlineStr">
        <is>
          <t>disneystore.eu</t>
        </is>
      </c>
      <c r="D515" t="inlineStr">
        <is>
          <t>official</t>
        </is>
      </c>
      <c r="E515" t="inlineStr">
        <is>
          <t>search snippet / page</t>
        </is>
      </c>
      <c r="F515" t="inlineStr"/>
      <c r="G515" t="inlineStr"/>
      <c r="H515" t="inlineStr"/>
    </row>
    <row r="516">
      <c r="A516" t="inlineStr">
        <is>
          <t>PHS-0213</t>
        </is>
      </c>
      <c r="B516" t="inlineStr">
        <is>
          <t>https://disneypinsblog.com/mushu-lunar-new-year-2024-pin-at-shopdisney/</t>
        </is>
      </c>
      <c r="C516" t="inlineStr">
        <is>
          <t>disneypinsblog.com</t>
        </is>
      </c>
      <c r="D516" t="inlineStr">
        <is>
          <t>secondary</t>
        </is>
      </c>
      <c r="E516" t="inlineStr">
        <is>
          <t>search snippet / page</t>
        </is>
      </c>
      <c r="F516" t="inlineStr"/>
      <c r="G516" t="inlineStr"/>
      <c r="H516" t="inlineStr"/>
    </row>
    <row r="517">
      <c r="A517" t="inlineStr">
        <is>
          <t>PHS-0213</t>
        </is>
      </c>
      <c r="B517" t="inlineStr">
        <is>
          <t>https://disneypinventory.com/view_item.php?itemID=32630</t>
        </is>
      </c>
      <c r="C517" t="inlineStr">
        <is>
          <t>disneypinventory.com</t>
        </is>
      </c>
      <c r="D517" t="inlineStr">
        <is>
          <t>secondary</t>
        </is>
      </c>
      <c r="E517" t="inlineStr">
        <is>
          <t>search snippet / page</t>
        </is>
      </c>
      <c r="F517" t="inlineStr"/>
      <c r="G517" t="inlineStr"/>
      <c r="H517" t="inlineStr"/>
    </row>
    <row r="518">
      <c r="A518" t="inlineStr">
        <is>
          <t>PHS-0214</t>
        </is>
      </c>
      <c r="B518" t="inlineStr">
        <is>
          <t>https://www.disneystore.co.uk/abu-disney-magical-collections-limited-edition-pin-aladdin-438017892538.html</t>
        </is>
      </c>
      <c r="C518" t="inlineStr">
        <is>
          <t>disneystore.co.uk</t>
        </is>
      </c>
      <c r="D518" t="inlineStr">
        <is>
          <t>official</t>
        </is>
      </c>
      <c r="E518" t="inlineStr">
        <is>
          <t>search snippet / page</t>
        </is>
      </c>
      <c r="F518" t="inlineStr"/>
      <c r="G518" t="inlineStr"/>
      <c r="H518" t="inlineStr"/>
    </row>
    <row r="519">
      <c r="A519" t="inlineStr">
        <is>
          <t>PHS-0214</t>
        </is>
      </c>
      <c r="B519" t="inlineStr">
        <is>
          <t>https://www.disneystore.co.uk/belle-and-chip-disney-magical-collections-limited-edition-pin-beauty-and-the-beast-438017783713.html</t>
        </is>
      </c>
      <c r="C519" t="inlineStr">
        <is>
          <t>disneystore.co.uk</t>
        </is>
      </c>
      <c r="D519" t="inlineStr">
        <is>
          <t>official</t>
        </is>
      </c>
      <c r="E519" t="inlineStr">
        <is>
          <t>search snippet / page</t>
        </is>
      </c>
      <c r="F519" t="inlineStr"/>
      <c r="G519" t="inlineStr"/>
      <c r="H519" t="inlineStr"/>
    </row>
    <row r="520">
      <c r="A520" t="inlineStr">
        <is>
          <t>PHS-0214</t>
        </is>
      </c>
      <c r="B520" t="inlineStr">
        <is>
          <t>https://www.disneystore.co.uk/dopey-and-grumpy-disney-magical-collections-limited-edition-pin-snow-white-and-the-seven-dwarfs-438017889255.html</t>
        </is>
      </c>
      <c r="C520" t="inlineStr">
        <is>
          <t>disneystore.co.uk</t>
        </is>
      </c>
      <c r="D520" t="inlineStr">
        <is>
          <t>official</t>
        </is>
      </c>
      <c r="E520" t="inlineStr">
        <is>
          <t>search snippet / page</t>
        </is>
      </c>
      <c r="F520" t="inlineStr"/>
      <c r="G520" t="inlineStr"/>
      <c r="H520" t="inlineStr"/>
    </row>
    <row r="521">
      <c r="A521" t="inlineStr">
        <is>
          <t>PHS-0214</t>
        </is>
      </c>
      <c r="B521" t="inlineStr">
        <is>
          <t>https://www.disneystore.co.uk/dug-limited-edition-pin-up-438017623835.html</t>
        </is>
      </c>
      <c r="C521" t="inlineStr">
        <is>
          <t>disneystore.co.uk</t>
        </is>
      </c>
      <c r="D521" t="inlineStr">
        <is>
          <t>official</t>
        </is>
      </c>
      <c r="E521" t="inlineStr">
        <is>
          <t>search snippet / page</t>
        </is>
      </c>
      <c r="F521" t="inlineStr"/>
      <c r="G521" t="inlineStr"/>
      <c r="H521" t="inlineStr"/>
    </row>
    <row r="522">
      <c r="A522" t="inlineStr">
        <is>
          <t>PHS-0214</t>
        </is>
      </c>
      <c r="B522" t="inlineStr">
        <is>
          <t>https://www.disneystore.co.uk/meeko-and-percy-disney-magical-collections-limited-edition-pin-pocahontas-438017783140.html</t>
        </is>
      </c>
      <c r="C522" t="inlineStr">
        <is>
          <t>disneystore.co.uk</t>
        </is>
      </c>
      <c r="D522" t="inlineStr">
        <is>
          <t>official</t>
        </is>
      </c>
      <c r="E522" t="inlineStr">
        <is>
          <t>search snippet / page</t>
        </is>
      </c>
      <c r="F522" t="inlineStr"/>
      <c r="G522" t="inlineStr"/>
      <c r="H522" t="inlineStr"/>
    </row>
    <row r="523">
      <c r="A523" t="inlineStr">
        <is>
          <t>PHS-0214</t>
        </is>
      </c>
      <c r="B523" t="inlineStr">
        <is>
          <t>https://www.disneystore.co.uk/queen-of-hearts-disney-magical-collections-limited-edition-pin-alice-in-wonderland-438017902695.html</t>
        </is>
      </c>
      <c r="C523" t="inlineStr">
        <is>
          <t>disneystore.co.uk</t>
        </is>
      </c>
      <c r="D523" t="inlineStr">
        <is>
          <t>official</t>
        </is>
      </c>
      <c r="E523" t="inlineStr">
        <is>
          <t>search snippet / page</t>
        </is>
      </c>
      <c r="F523" t="inlineStr"/>
      <c r="G523" t="inlineStr"/>
      <c r="H523" t="inlineStr"/>
    </row>
    <row r="524">
      <c r="A524" t="inlineStr">
        <is>
          <t>PHS-0215</t>
        </is>
      </c>
      <c r="B524" t="inlineStr">
        <is>
          <t>https://www.disneystore.co.uk/big-hero-6-magical-medallions-limited-release-pin-438017682818.html</t>
        </is>
      </c>
      <c r="C524" t="inlineStr">
        <is>
          <t>disneystore.co.uk</t>
        </is>
      </c>
      <c r="D524" t="inlineStr">
        <is>
          <t>official</t>
        </is>
      </c>
      <c r="E524" t="inlineStr">
        <is>
          <t>search snippet / page</t>
        </is>
      </c>
      <c r="F524" t="inlineStr"/>
      <c r="G524" t="inlineStr"/>
      <c r="H524" t="inlineStr"/>
    </row>
    <row r="525">
      <c r="A525" t="inlineStr">
        <is>
          <t>PHS-0215</t>
        </is>
      </c>
      <c r="B525" t="inlineStr">
        <is>
          <t>https://www.disneystore.eu/meet-the-robinsons-magical-medallions-limited-release-pin-438017682733.html</t>
        </is>
      </c>
      <c r="C525" t="inlineStr">
        <is>
          <t>disneystore.eu</t>
        </is>
      </c>
      <c r="D525" t="inlineStr">
        <is>
          <t>official</t>
        </is>
      </c>
      <c r="E525" t="inlineStr">
        <is>
          <t>search snippet / page</t>
        </is>
      </c>
      <c r="F525" t="inlineStr"/>
      <c r="G525" t="inlineStr"/>
      <c r="H525" t="inlineStr"/>
    </row>
    <row r="526">
      <c r="A526" t="inlineStr">
        <is>
          <t>PHS-0215</t>
        </is>
      </c>
      <c r="B526" t="inlineStr">
        <is>
          <t>https://disneypinforum.com/threads/2024-pin-discussion-pin-releases-speech-balloon.77622/page-2</t>
        </is>
      </c>
      <c r="C526" t="inlineStr">
        <is>
          <t>disneypinforum.com</t>
        </is>
      </c>
      <c r="D526" t="inlineStr">
        <is>
          <t>secondary</t>
        </is>
      </c>
      <c r="E526" t="inlineStr">
        <is>
          <t>search snippet / page</t>
        </is>
      </c>
      <c r="F526" t="inlineStr"/>
      <c r="G526" t="inlineStr"/>
      <c r="H526" t="inlineStr"/>
    </row>
    <row r="527">
      <c r="A527" t="inlineStr">
        <is>
          <t>PHS-0215</t>
        </is>
      </c>
      <c r="B527" t="inlineStr">
        <is>
          <t>https://disneypinventory.com/view_item.php?itemID=33006</t>
        </is>
      </c>
      <c r="C527" t="inlineStr">
        <is>
          <t>disneypinventory.com</t>
        </is>
      </c>
      <c r="D527" t="inlineStr">
        <is>
          <t>secondary</t>
        </is>
      </c>
      <c r="E527" t="inlineStr">
        <is>
          <t>search snippet / page</t>
        </is>
      </c>
      <c r="F527" t="inlineStr"/>
      <c r="G527" t="inlineStr"/>
      <c r="H527" t="inlineStr"/>
    </row>
    <row r="528">
      <c r="A528" t="inlineStr">
        <is>
          <t>PHS-0216</t>
        </is>
      </c>
      <c r="B528" t="inlineStr">
        <is>
          <t>https://www.disneystore.co.uk/mickey-mouse-and-minnie-mouse-st.-davids-day-2024-limited-edition-pin-438017640412.html</t>
        </is>
      </c>
      <c r="C528" t="inlineStr">
        <is>
          <t>disneystore.co.uk</t>
        </is>
      </c>
      <c r="D528" t="inlineStr">
        <is>
          <t>official</t>
        </is>
      </c>
      <c r="E528" t="inlineStr">
        <is>
          <t>search snippet / page</t>
        </is>
      </c>
      <c r="F528" t="inlineStr"/>
      <c r="G528" t="inlineStr"/>
      <c r="H528" t="inlineStr"/>
    </row>
    <row r="529">
      <c r="A529" t="inlineStr">
        <is>
          <t>PHS-0216</t>
        </is>
      </c>
      <c r="B529" t="inlineStr">
        <is>
          <t>https://www.disneystore.eu/mickey-mouse-and-minnie-mouse-st.-davids-day-2024-limited-edition-pin-438017640412.html</t>
        </is>
      </c>
      <c r="C529" t="inlineStr">
        <is>
          <t>disneystore.eu</t>
        </is>
      </c>
      <c r="D529" t="inlineStr">
        <is>
          <t>official</t>
        </is>
      </c>
      <c r="E529" t="inlineStr">
        <is>
          <t>search snippet / page</t>
        </is>
      </c>
      <c r="F529" t="inlineStr"/>
      <c r="G529" t="inlineStr"/>
      <c r="H529" t="inlineStr"/>
    </row>
    <row r="530">
      <c r="A530" t="inlineStr">
        <is>
          <t>PHS-0216</t>
        </is>
      </c>
      <c r="B530" t="inlineStr">
        <is>
          <t>https://disneypinsblog.com/mickey-mouse-and-minnie-mouse-st-davids-day-2024-pin-at-shopdisney-uk-eu/</t>
        </is>
      </c>
      <c r="C530" t="inlineStr">
        <is>
          <t>disneypinsblog.com</t>
        </is>
      </c>
      <c r="D530" t="inlineStr">
        <is>
          <t>secondary</t>
        </is>
      </c>
      <c r="E530" t="inlineStr">
        <is>
          <t>search snippet / page</t>
        </is>
      </c>
      <c r="F530" t="inlineStr"/>
      <c r="G530" t="inlineStr"/>
      <c r="H530" t="inlineStr"/>
    </row>
    <row r="531">
      <c r="A531" t="inlineStr">
        <is>
          <t>PHS-0217</t>
        </is>
      </c>
      <c r="B531" t="inlineStr">
        <is>
          <t>https://www.disneystore.co.uk/moana-limited-edition-mystery-puzzle-pin-438017784888.html</t>
        </is>
      </c>
      <c r="C531" t="inlineStr">
        <is>
          <t>disneystore.co.uk</t>
        </is>
      </c>
      <c r="D531" t="inlineStr">
        <is>
          <t>official</t>
        </is>
      </c>
      <c r="E531" t="inlineStr">
        <is>
          <t>search snippet / page</t>
        </is>
      </c>
      <c r="F531" t="inlineStr"/>
      <c r="G531" t="inlineStr"/>
      <c r="H531" t="inlineStr"/>
    </row>
    <row r="532">
      <c r="A532" t="inlineStr">
        <is>
          <t>PHS-0217</t>
        </is>
      </c>
      <c r="B532" t="inlineStr">
        <is>
          <t>https://www.disneystore.eu/moana-limited-edition-mystery-puzzle-pin-438017784888.html</t>
        </is>
      </c>
      <c r="C532" t="inlineStr">
        <is>
          <t>disneystore.eu</t>
        </is>
      </c>
      <c r="D532" t="inlineStr">
        <is>
          <t>official</t>
        </is>
      </c>
      <c r="E532" t="inlineStr">
        <is>
          <t>search snippet / page</t>
        </is>
      </c>
      <c r="F532" t="inlineStr"/>
      <c r="G532" t="inlineStr"/>
      <c r="H532" t="inlineStr"/>
    </row>
    <row r="533">
      <c r="A533" t="inlineStr">
        <is>
          <t>PHS-0217</t>
        </is>
      </c>
      <c r="B533" t="inlineStr">
        <is>
          <t>https://disneypinventory.com/view_item.php?itemID=34780</t>
        </is>
      </c>
      <c r="C533" t="inlineStr">
        <is>
          <t>disneypinventory.com</t>
        </is>
      </c>
      <c r="D533" t="inlineStr">
        <is>
          <t>secondary</t>
        </is>
      </c>
      <c r="E533" t="inlineStr">
        <is>
          <t>search snippet / page</t>
        </is>
      </c>
      <c r="F533" t="inlineStr"/>
      <c r="G533" t="inlineStr"/>
      <c r="H533" t="inlineStr"/>
    </row>
    <row r="534">
      <c r="A534" t="inlineStr">
        <is>
          <t>PHS-0217</t>
        </is>
      </c>
      <c r="B534" t="inlineStr">
        <is>
          <t>https://disneypinventory.com/view_item.php?itemID=34783</t>
        </is>
      </c>
      <c r="C534" t="inlineStr">
        <is>
          <t>disneypinventory.com</t>
        </is>
      </c>
      <c r="D534" t="inlineStr">
        <is>
          <t>secondary</t>
        </is>
      </c>
      <c r="E534" t="inlineStr">
        <is>
          <t>search snippet / page</t>
        </is>
      </c>
      <c r="F534" t="inlineStr"/>
      <c r="G534" t="inlineStr"/>
      <c r="H534" t="inlineStr"/>
    </row>
    <row r="535">
      <c r="A535" t="inlineStr">
        <is>
          <t>PHS-0218</t>
        </is>
      </c>
      <c r="B535" t="inlineStr">
        <is>
          <t>https://www.disneystore.eu/miss-bianca-limited-edition-bastille-day-2024-pin-the-rescuers-438017894365.html</t>
        </is>
      </c>
      <c r="C535" t="inlineStr">
        <is>
          <t>disneystore.eu</t>
        </is>
      </c>
      <c r="D535" t="inlineStr">
        <is>
          <t>official</t>
        </is>
      </c>
      <c r="E535" t="inlineStr">
        <is>
          <t>search snippet / page</t>
        </is>
      </c>
      <c r="F535" t="inlineStr"/>
      <c r="G535" t="inlineStr"/>
      <c r="H535" t="inlineStr"/>
    </row>
    <row r="536">
      <c r="A536" t="inlineStr">
        <is>
          <t>PHS-0218</t>
        </is>
      </c>
      <c r="B536" t="inlineStr">
        <is>
          <t>https://disneypinsblog.com/miss-bianca-bastille-day-2024-pin-at-disney-store-europe/</t>
        </is>
      </c>
      <c r="C536" t="inlineStr">
        <is>
          <t>disneypinsblog.com</t>
        </is>
      </c>
      <c r="D536" t="inlineStr">
        <is>
          <t>secondary</t>
        </is>
      </c>
      <c r="E536" t="inlineStr">
        <is>
          <t>search snippet / page</t>
        </is>
      </c>
      <c r="F536" t="inlineStr"/>
      <c r="G536" t="inlineStr"/>
      <c r="H536" t="inlineStr"/>
    </row>
    <row r="537">
      <c r="A537" t="inlineStr">
        <is>
          <t>PHS-0218</t>
        </is>
      </c>
      <c r="B537" t="inlineStr">
        <is>
          <t>https://disneypinventory.com/view_item.php?itemID=35456</t>
        </is>
      </c>
      <c r="C537" t="inlineStr">
        <is>
          <t>disneypinventory.com</t>
        </is>
      </c>
      <c r="D537" t="inlineStr">
        <is>
          <t>secondary</t>
        </is>
      </c>
      <c r="E537" t="inlineStr">
        <is>
          <t>search snippet / page</t>
        </is>
      </c>
      <c r="F537" t="inlineStr"/>
      <c r="G537" t="inlineStr"/>
      <c r="H537" t="inlineStr"/>
    </row>
    <row r="538">
      <c r="A538" t="inlineStr">
        <is>
          <t>PHS-0219</t>
        </is>
      </c>
      <c r="B538" t="inlineStr">
        <is>
          <t>https://www.disneystore.eu/mickeys-christmas-carol-limited-edition-24-day-advent-calendar-mystery-pin-set-2024-438018036092.html</t>
        </is>
      </c>
      <c r="C538" t="inlineStr">
        <is>
          <t>disneystore.eu</t>
        </is>
      </c>
      <c r="D538" t="inlineStr">
        <is>
          <t>official</t>
        </is>
      </c>
      <c r="E538" t="inlineStr">
        <is>
          <t>search snippet / page</t>
        </is>
      </c>
      <c r="F538" t="inlineStr"/>
      <c r="G538" t="inlineStr"/>
      <c r="H538" t="inlineStr"/>
    </row>
    <row r="539">
      <c r="A539" t="inlineStr">
        <is>
          <t>PHS-0219</t>
        </is>
      </c>
      <c r="B539" t="inlineStr">
        <is>
          <t>https://chipandco.com/mickeys-christmas-carol-24-day-advent-calendar-mystery-pin-set-2024-a-must-have-for-disney-pin-collectors-580256/</t>
        </is>
      </c>
      <c r="C539" t="inlineStr">
        <is>
          <t>chipandco.com</t>
        </is>
      </c>
      <c r="D539" t="inlineStr">
        <is>
          <t>secondary</t>
        </is>
      </c>
      <c r="E539" t="inlineStr">
        <is>
          <t>search snippet / page</t>
        </is>
      </c>
      <c r="F539" t="inlineStr"/>
      <c r="G539" t="inlineStr"/>
      <c r="H539" t="inlineStr"/>
    </row>
    <row r="540">
      <c r="A540" t="inlineStr">
        <is>
          <t>PHS-0219</t>
        </is>
      </c>
      <c r="B540" t="inlineStr">
        <is>
          <t>https://disneypinsblog.com/product/daisy-duck-mickeys-christmas-carol-advent-calendar-pin/</t>
        </is>
      </c>
      <c r="C540" t="inlineStr">
        <is>
          <t>disneypinsblog.com</t>
        </is>
      </c>
      <c r="D540" t="inlineStr">
        <is>
          <t>secondary</t>
        </is>
      </c>
      <c r="E540" t="inlineStr">
        <is>
          <t>search snippet / page</t>
        </is>
      </c>
      <c r="F540" t="inlineStr"/>
      <c r="G540" t="inlineStr"/>
      <c r="H540" t="inlineStr"/>
    </row>
    <row r="541">
      <c r="A541" t="inlineStr">
        <is>
          <t>PHS-0219</t>
        </is>
      </c>
      <c r="B541" t="inlineStr">
        <is>
          <t>https://disneypinsblog.com/product/goofy-door-knocker-mickeys-christmas-carol-advent-calendar-pin/</t>
        </is>
      </c>
      <c r="C541" t="inlineStr">
        <is>
          <t>disneypinsblog.com</t>
        </is>
      </c>
      <c r="D541" t="inlineStr">
        <is>
          <t>secondary</t>
        </is>
      </c>
      <c r="E541" t="inlineStr">
        <is>
          <t>search snippet / page</t>
        </is>
      </c>
      <c r="F541" t="inlineStr"/>
      <c r="G541" t="inlineStr"/>
      <c r="H541" t="inlineStr"/>
    </row>
    <row r="542">
      <c r="A542" t="inlineStr">
        <is>
          <t>PHS-0219</t>
        </is>
      </c>
      <c r="B542" t="inlineStr">
        <is>
          <t>https://disneypinsblog.com/product/jiminy-cricket-mickeys-christmas-carol-advent-calendar-pin/</t>
        </is>
      </c>
      <c r="C542" t="inlineStr">
        <is>
          <t>disneypinsblog.com</t>
        </is>
      </c>
      <c r="D542" t="inlineStr">
        <is>
          <t>secondary</t>
        </is>
      </c>
      <c r="E542" t="inlineStr">
        <is>
          <t>search snippet / page</t>
        </is>
      </c>
      <c r="F542" t="inlineStr"/>
      <c r="G542" t="inlineStr"/>
      <c r="H542" t="inlineStr"/>
    </row>
    <row r="543">
      <c r="A543" t="inlineStr">
        <is>
          <t>PHS-0219</t>
        </is>
      </c>
      <c r="B543" t="inlineStr">
        <is>
          <t>https://disneypinsblog.com/product/minnie-mouse-mickeys-christmas-carol-advent-calendar-pin/</t>
        </is>
      </c>
      <c r="C543" t="inlineStr">
        <is>
          <t>disneypinsblog.com</t>
        </is>
      </c>
      <c r="D543" t="inlineStr">
        <is>
          <t>secondary</t>
        </is>
      </c>
      <c r="E543" t="inlineStr">
        <is>
          <t>search snippet / page</t>
        </is>
      </c>
      <c r="F543" t="inlineStr"/>
      <c r="G543" t="inlineStr"/>
      <c r="H543" t="inlineStr"/>
    </row>
    <row r="544">
      <c r="A544" t="inlineStr">
        <is>
          <t>PHS-0220</t>
        </is>
      </c>
      <c r="B544" t="inlineStr">
        <is>
          <t>https://www.disneystore.co.uk/mickey-mouse-and-santa-claus-limited-release-festive-pin-2024-438018034685.html</t>
        </is>
      </c>
      <c r="C544" t="inlineStr">
        <is>
          <t>disneystore.co.uk</t>
        </is>
      </c>
      <c r="D544" t="inlineStr">
        <is>
          <t>official</t>
        </is>
      </c>
      <c r="E544" t="inlineStr">
        <is>
          <t>search snippet / page</t>
        </is>
      </c>
      <c r="F544" t="inlineStr"/>
      <c r="G544" t="inlineStr"/>
      <c r="H544" t="inlineStr"/>
    </row>
    <row r="545">
      <c r="A545" t="inlineStr">
        <is>
          <t>PHS-0220</t>
        </is>
      </c>
      <c r="B545" t="inlineStr">
        <is>
          <t>https://www.disneystore.eu/mickey-mouse-and-santa-claus-limited-release-festive-pin-2024-438018034685.html</t>
        </is>
      </c>
      <c r="C545" t="inlineStr">
        <is>
          <t>disneystore.eu</t>
        </is>
      </c>
      <c r="D545" t="inlineStr">
        <is>
          <t>official</t>
        </is>
      </c>
      <c r="E545" t="inlineStr">
        <is>
          <t>search snippet / page</t>
        </is>
      </c>
      <c r="F545" t="inlineStr"/>
      <c r="G545" t="inlineStr"/>
      <c r="H545" t="inlineStr"/>
    </row>
    <row r="546">
      <c r="A546" t="inlineStr">
        <is>
          <t>PHS-0220</t>
        </is>
      </c>
      <c r="B546" t="inlineStr">
        <is>
          <t>https://disneypinsblog.com/blogs/news/mickey-mouse-and-santa-claus-holiday-pin-2024-at-disney-store</t>
        </is>
      </c>
      <c r="C546" t="inlineStr">
        <is>
          <t>disneypinsblog.com</t>
        </is>
      </c>
      <c r="D546" t="inlineStr">
        <is>
          <t>secondary</t>
        </is>
      </c>
      <c r="E546" t="inlineStr">
        <is>
          <t>search snippet / page</t>
        </is>
      </c>
      <c r="F546" t="inlineStr"/>
      <c r="G546" t="inlineStr"/>
      <c r="H546" t="inlineStr"/>
    </row>
    <row r="547">
      <c r="A547" t="inlineStr">
        <is>
          <t>PHS-0221</t>
        </is>
      </c>
      <c r="B547" t="inlineStr">
        <is>
          <t>https://www.disneystore.co.uk/celebrating-disney-pins-25th-anniversary-limited-edition-pin-set-series-1-of-4-438019714227.html</t>
        </is>
      </c>
      <c r="C547" t="inlineStr">
        <is>
          <t>disneystore.co.uk</t>
        </is>
      </c>
      <c r="D547" t="inlineStr">
        <is>
          <t>official</t>
        </is>
      </c>
      <c r="E547" t="inlineStr">
        <is>
          <t>search snippet / page</t>
        </is>
      </c>
      <c r="F547" t="inlineStr"/>
      <c r="G547" t="inlineStr"/>
      <c r="H547" t="inlineStr"/>
    </row>
    <row r="548">
      <c r="A548" t="inlineStr">
        <is>
          <t>PHS-0221</t>
        </is>
      </c>
      <c r="B548" t="inlineStr">
        <is>
          <t>https://disneypinsblog.com/celebrating-disney-pins-25-years-pin-set-1-at-disney-store/</t>
        </is>
      </c>
      <c r="C548" t="inlineStr">
        <is>
          <t>disneypinsblog.com</t>
        </is>
      </c>
      <c r="D548" t="inlineStr">
        <is>
          <t>secondary</t>
        </is>
      </c>
      <c r="E548" t="inlineStr">
        <is>
          <t>search snippet / page</t>
        </is>
      </c>
      <c r="F548" t="inlineStr"/>
      <c r="G548" t="inlineStr"/>
      <c r="H548" t="inlineStr"/>
    </row>
    <row r="549">
      <c r="A549" t="inlineStr">
        <is>
          <t>PHS-0221</t>
        </is>
      </c>
      <c r="B549" t="inlineStr">
        <is>
          <t>https://disneypinventory.com/view_item.php?itemID=42657</t>
        </is>
      </c>
      <c r="C549" t="inlineStr">
        <is>
          <t>disneypinventory.com</t>
        </is>
      </c>
      <c r="D549" t="inlineStr">
        <is>
          <t>secondary</t>
        </is>
      </c>
      <c r="E549" t="inlineStr">
        <is>
          <t>search snippet / page</t>
        </is>
      </c>
      <c r="F549" t="inlineStr"/>
      <c r="G549" t="inlineStr"/>
      <c r="H549" t="inlineStr"/>
    </row>
    <row r="550">
      <c r="A550" t="inlineStr">
        <is>
          <t>PHS-0222</t>
        </is>
      </c>
      <c r="B550" t="inlineStr">
        <is>
          <t>https://www.disneystore.co.uk/ducks-of-disney-mystery-pin-pouch-438038208431.html</t>
        </is>
      </c>
      <c r="C550" t="inlineStr">
        <is>
          <t>disneystore.co.uk</t>
        </is>
      </c>
      <c r="D550" t="inlineStr">
        <is>
          <t>official</t>
        </is>
      </c>
      <c r="E550" t="inlineStr">
        <is>
          <t>search snippet / page</t>
        </is>
      </c>
      <c r="F550" t="inlineStr"/>
      <c r="G550" t="inlineStr"/>
      <c r="H550" t="inlineStr"/>
    </row>
    <row r="551">
      <c r="A551" t="inlineStr">
        <is>
          <t>PHS-0222</t>
        </is>
      </c>
      <c r="B551" t="inlineStr">
        <is>
          <t>https://www.extramagicminutes.com/disney-store-uk/disney-pin-collection-disney-store-uk-2025</t>
        </is>
      </c>
      <c r="C551" t="inlineStr">
        <is>
          <t>extramagicminutes.com</t>
        </is>
      </c>
      <c r="D551" t="inlineStr">
        <is>
          <t>secondary</t>
        </is>
      </c>
      <c r="E551" t="inlineStr">
        <is>
          <t>search snippet / page</t>
        </is>
      </c>
      <c r="F551" t="inlineStr"/>
      <c r="G551" t="inlineStr"/>
      <c r="H551" t="inlineStr"/>
    </row>
    <row r="552">
      <c r="A552" t="inlineStr">
        <is>
          <t>PHS-0222</t>
        </is>
      </c>
      <c r="B552" t="inlineStr">
        <is>
          <t>https://www.laughingplace.com/disney-merchandise/its-always-surprise-ducks-disney-mystery-pin-blind-pack-now-available-disney-store/</t>
        </is>
      </c>
      <c r="C552" t="inlineStr">
        <is>
          <t>laughingplace.com</t>
        </is>
      </c>
      <c r="D552" t="inlineStr">
        <is>
          <t>secondary</t>
        </is>
      </c>
      <c r="E552" t="inlineStr">
        <is>
          <t>search snippet / page</t>
        </is>
      </c>
      <c r="F552" t="inlineStr"/>
      <c r="G552" t="inlineStr"/>
      <c r="H552" t="inlineStr"/>
    </row>
    <row r="553">
      <c r="A553" t="inlineStr">
        <is>
          <t>PHS-0223</t>
        </is>
      </c>
      <c r="B553" t="inlineStr">
        <is>
          <t>https://www.disneystore.co.uk/celebrating-disney-pins-25th-anniversary-limited-edition-pin-set-series-2-of-4-438019581553.html</t>
        </is>
      </c>
      <c r="C553" t="inlineStr">
        <is>
          <t>disneystore.co.uk</t>
        </is>
      </c>
      <c r="D553" t="inlineStr">
        <is>
          <t>official</t>
        </is>
      </c>
      <c r="E553" t="inlineStr">
        <is>
          <t>search snippet / page</t>
        </is>
      </c>
      <c r="F553" t="inlineStr"/>
      <c r="G553" t="inlineStr"/>
      <c r="H553" t="inlineStr"/>
    </row>
    <row r="554">
      <c r="A554" t="inlineStr">
        <is>
          <t>PHS-0223</t>
        </is>
      </c>
      <c r="B554" t="inlineStr">
        <is>
          <t>https://www.disneystore.eu/celebrating-disney-pins-25th-anniversary-limited-edition-pin-set-series-2-of-4-438019581553.html</t>
        </is>
      </c>
      <c r="C554" t="inlineStr">
        <is>
          <t>disneystore.eu</t>
        </is>
      </c>
      <c r="D554" t="inlineStr">
        <is>
          <t>official</t>
        </is>
      </c>
      <c r="E554" t="inlineStr">
        <is>
          <t>search snippet / page</t>
        </is>
      </c>
      <c r="F554" t="inlineStr"/>
      <c r="G554" t="inlineStr"/>
      <c r="H554" t="inlineStr"/>
    </row>
    <row r="555">
      <c r="A555" t="inlineStr">
        <is>
          <t>PHS-0223</t>
        </is>
      </c>
      <c r="B555" t="inlineStr">
        <is>
          <t>https://disneypinsblog.com/celebrating-disney-pins-25-years-pin-set-2-at-disney-store/</t>
        </is>
      </c>
      <c r="C555" t="inlineStr">
        <is>
          <t>disneypinsblog.com</t>
        </is>
      </c>
      <c r="D555" t="inlineStr">
        <is>
          <t>secondary</t>
        </is>
      </c>
      <c r="E555" t="inlineStr">
        <is>
          <t>search snippet / page</t>
        </is>
      </c>
      <c r="F555" t="inlineStr"/>
      <c r="G555" t="inlineStr"/>
      <c r="H555" t="inlineStr"/>
    </row>
    <row r="556">
      <c r="A556" t="inlineStr">
        <is>
          <t>PHS-0223</t>
        </is>
      </c>
      <c r="B556" t="inlineStr">
        <is>
          <t>https://medium.com/@disney_mouseketeer/disney-lilo-stitch-celebrating-25-years-of-disney-pins-set-released-today-at-disney-store-april-81e6b15815f0</t>
        </is>
      </c>
      <c r="C556" t="inlineStr">
        <is>
          <t>medium.com</t>
        </is>
      </c>
      <c r="D556" t="inlineStr">
        <is>
          <t>secondary</t>
        </is>
      </c>
      <c r="E556" t="inlineStr">
        <is>
          <t>search snippet / page</t>
        </is>
      </c>
      <c r="F556" t="inlineStr"/>
      <c r="G556" t="inlineStr"/>
      <c r="H556" t="inlineStr"/>
    </row>
    <row r="557">
      <c r="A557" t="inlineStr">
        <is>
          <t>PHS-0224</t>
        </is>
      </c>
      <c r="B557" t="inlineStr">
        <is>
          <t>https://www.disneystore.co.uk/disney-parks-pin-trading-25-years-mystery-pin-set-438019581485.html</t>
        </is>
      </c>
      <c r="C557" t="inlineStr">
        <is>
          <t>disneystore.co.uk</t>
        </is>
      </c>
      <c r="D557" t="inlineStr">
        <is>
          <t>official</t>
        </is>
      </c>
      <c r="E557" t="inlineStr">
        <is>
          <t>search snippet / page</t>
        </is>
      </c>
      <c r="F557" t="inlineStr"/>
      <c r="G557" t="inlineStr"/>
      <c r="H557" t="inlineStr"/>
    </row>
    <row r="558">
      <c r="A558" t="inlineStr">
        <is>
          <t>PHS-0224</t>
        </is>
      </c>
      <c r="B558" t="inlineStr">
        <is>
          <t>https://www.disneystore.eu/disney-parks-pin-trading-25-years-mystery-pin-set-438019581485.html</t>
        </is>
      </c>
      <c r="C558" t="inlineStr">
        <is>
          <t>disneystore.eu</t>
        </is>
      </c>
      <c r="D558" t="inlineStr">
        <is>
          <t>official</t>
        </is>
      </c>
      <c r="E558" t="inlineStr">
        <is>
          <t>search snippet / page</t>
        </is>
      </c>
      <c r="F558" t="inlineStr"/>
      <c r="G558" t="inlineStr"/>
      <c r="H558" t="inlineStr"/>
    </row>
    <row r="559">
      <c r="A559" t="inlineStr">
        <is>
          <t>PHS-0224</t>
        </is>
      </c>
      <c r="B559" t="inlineStr">
        <is>
          <t>https://disneypinsblog.com/disney-pin-trading-25th-anniversary-mystery-pin-set/</t>
        </is>
      </c>
      <c r="C559" t="inlineStr">
        <is>
          <t>disneypinsblog.com</t>
        </is>
      </c>
      <c r="D559" t="inlineStr">
        <is>
          <t>secondary</t>
        </is>
      </c>
      <c r="E559" t="inlineStr">
        <is>
          <t>search snippet / page</t>
        </is>
      </c>
      <c r="F559" t="inlineStr"/>
      <c r="G559" t="inlineStr"/>
      <c r="H559" t="inlineStr"/>
    </row>
    <row r="560">
      <c r="A560" t="inlineStr">
        <is>
          <t>PHS-0224</t>
        </is>
      </c>
      <c r="B560" t="inlineStr">
        <is>
          <t>https://wdwnt.com/2025/05/new-disney-pin-trading-25th-anniversary-mystery-pin-set-at-walt-disney-world/</t>
        </is>
      </c>
      <c r="C560" t="inlineStr">
        <is>
          <t>wdwnt.com</t>
        </is>
      </c>
      <c r="D560" t="inlineStr">
        <is>
          <t>secondary</t>
        </is>
      </c>
      <c r="E560" t="inlineStr">
        <is>
          <t>search snippet / page</t>
        </is>
      </c>
      <c r="F560" t="inlineStr"/>
      <c r="G560" t="inlineStr"/>
      <c r="H560" t="inlineStr"/>
    </row>
    <row r="561">
      <c r="A561" t="inlineStr">
        <is>
          <t>PHS-0225</t>
        </is>
      </c>
      <c r="B561" t="inlineStr">
        <is>
          <t>https://www.disneystore.asia/stitch-experiment-626-2-piece-mystery-pin-blind-pack%C2%A0626-day-2025-438019579918.html</t>
        </is>
      </c>
      <c r="C561" t="inlineStr">
        <is>
          <t>disneystore.asia</t>
        </is>
      </c>
      <c r="D561" t="inlineStr">
        <is>
          <t>official</t>
        </is>
      </c>
      <c r="E561" t="inlineStr">
        <is>
          <t>search snippet / page</t>
        </is>
      </c>
      <c r="F561" t="inlineStr"/>
      <c r="G561" t="inlineStr"/>
      <c r="H561" t="inlineStr"/>
    </row>
    <row r="562">
      <c r="A562" t="inlineStr">
        <is>
          <t>PHS-0225</t>
        </is>
      </c>
      <c r="B562" t="inlineStr">
        <is>
          <t>https://www.disneystore.co.uk/stitch-626-day-2025-limited-release-mystery-pin-set-438019579918.html</t>
        </is>
      </c>
      <c r="C562" t="inlineStr">
        <is>
          <t>disneystore.co.uk</t>
        </is>
      </c>
      <c r="D562" t="inlineStr">
        <is>
          <t>official</t>
        </is>
      </c>
      <c r="E562" t="inlineStr">
        <is>
          <t>search snippet / page</t>
        </is>
      </c>
      <c r="F562" t="inlineStr"/>
      <c r="G562" t="inlineStr"/>
      <c r="H562" t="inlineStr"/>
    </row>
    <row r="563">
      <c r="A563" t="inlineStr">
        <is>
          <t>PHS-0225</t>
        </is>
      </c>
      <c r="B563" t="inlineStr">
        <is>
          <t>https://www.disneystore.com.au/stitch-experiment-626-2-piece-mystery-pin-blind-pack%C2%A0626-day-2025-438019579918.html</t>
        </is>
      </c>
      <c r="C563" t="inlineStr">
        <is>
          <t>disneystore.com.au</t>
        </is>
      </c>
      <c r="D563" t="inlineStr">
        <is>
          <t>official</t>
        </is>
      </c>
      <c r="E563" t="inlineStr">
        <is>
          <t>search snippet / page</t>
        </is>
      </c>
      <c r="F563" t="inlineStr"/>
      <c r="G563" t="inlineStr"/>
      <c r="H563" t="inlineStr"/>
    </row>
    <row r="564">
      <c r="A564" t="inlineStr">
        <is>
          <t>PHS-0225</t>
        </is>
      </c>
      <c r="B564" t="inlineStr">
        <is>
          <t>https://disneypinventory.com/view_item.php?itemID=44988</t>
        </is>
      </c>
      <c r="C564" t="inlineStr">
        <is>
          <t>disneypinventory.com</t>
        </is>
      </c>
      <c r="D564" t="inlineStr">
        <is>
          <t>secondary</t>
        </is>
      </c>
      <c r="E564" t="inlineStr">
        <is>
          <t>search snippet / page</t>
        </is>
      </c>
      <c r="F564" t="inlineStr"/>
      <c r="G564" t="inlineStr"/>
      <c r="H564" t="inlineStr"/>
    </row>
    <row r="565">
      <c r="A565" t="inlineStr">
        <is>
          <t>PHS-0225</t>
        </is>
      </c>
      <c r="B565" t="inlineStr">
        <is>
          <t>https://wdwnt.com/2025/06/new-stitch-626-day-caseys-corner-pins-at-walt-disney-world/</t>
        </is>
      </c>
      <c r="C565" t="inlineStr">
        <is>
          <t>wdwnt.com</t>
        </is>
      </c>
      <c r="D565" t="inlineStr">
        <is>
          <t>secondary</t>
        </is>
      </c>
      <c r="E565" t="inlineStr">
        <is>
          <t>search snippet / page</t>
        </is>
      </c>
      <c r="F565" t="inlineStr"/>
      <c r="G565" t="inlineStr"/>
      <c r="H565" t="inlineStr"/>
    </row>
    <row r="566">
      <c r="A566" t="inlineStr">
        <is>
          <t>PHS-0226</t>
        </is>
      </c>
      <c r="B566" t="inlineStr">
        <is>
          <t>https://www.disneystore.co.uk/disney-halloween-limited-edition-countdown-pin-advent-calendar-438019866285.html</t>
        </is>
      </c>
      <c r="C566" t="inlineStr">
        <is>
          <t>disneystore.co.uk</t>
        </is>
      </c>
      <c r="D566" t="inlineStr">
        <is>
          <t>official</t>
        </is>
      </c>
      <c r="E566" t="inlineStr">
        <is>
          <t>search snippet / page</t>
        </is>
      </c>
      <c r="F566" t="inlineStr"/>
      <c r="G566" t="inlineStr"/>
      <c r="H566" t="inlineStr"/>
    </row>
    <row r="567">
      <c r="A567" t="inlineStr">
        <is>
          <t>PHS-0226</t>
        </is>
      </c>
      <c r="B567" t="inlineStr">
        <is>
          <t>https://www.disneystore.eu/disney-halloween-limited-edition-countdown-pin-advent-calendar-438019866285.html</t>
        </is>
      </c>
      <c r="C567" t="inlineStr">
        <is>
          <t>disneystore.eu</t>
        </is>
      </c>
      <c r="D567" t="inlineStr">
        <is>
          <t>official</t>
        </is>
      </c>
      <c r="E567" t="inlineStr">
        <is>
          <t>search snippet / page</t>
        </is>
      </c>
      <c r="F567" t="inlineStr"/>
      <c r="G567" t="inlineStr"/>
      <c r="H567" t="inlineStr"/>
    </row>
    <row r="568">
      <c r="A568" t="inlineStr">
        <is>
          <t>PHS-0226</t>
        </is>
      </c>
      <c r="B568" t="inlineStr">
        <is>
          <t>https://disneypinventory.com/view_item.php?itemID=45706</t>
        </is>
      </c>
      <c r="C568" t="inlineStr">
        <is>
          <t>disneypinventory.com</t>
        </is>
      </c>
      <c r="D568" t="inlineStr">
        <is>
          <t>secondary</t>
        </is>
      </c>
      <c r="E568" t="inlineStr">
        <is>
          <t>search snippet / page</t>
        </is>
      </c>
      <c r="F568" t="inlineStr"/>
      <c r="G568" t="inlineStr"/>
      <c r="H568" t="inlineStr"/>
    </row>
    <row r="569">
      <c r="A569" t="inlineStr">
        <is>
          <t>PHS-0226</t>
        </is>
      </c>
      <c r="B569" t="inlineStr">
        <is>
          <t>https://mypincentral.com/pin/217700</t>
        </is>
      </c>
      <c r="C569" t="inlineStr">
        <is>
          <t>mypincentral.com</t>
        </is>
      </c>
      <c r="D569" t="inlineStr">
        <is>
          <t>secondary</t>
        </is>
      </c>
      <c r="E569" t="inlineStr">
        <is>
          <t>search snippet / page</t>
        </is>
      </c>
      <c r="F569" t="inlineStr"/>
      <c r="G569" t="inlineStr"/>
      <c r="H569" t="inlineStr"/>
    </row>
    <row r="570">
      <c r="A570" t="inlineStr">
        <is>
          <t>PHS-0227</t>
        </is>
      </c>
      <c r="B570" t="inlineStr">
        <is>
          <t>https://www.disneystore.com/the-muppets-celebrating-disney-pins-25-pin-set-3-limited-edition-438018656450.html</t>
        </is>
      </c>
      <c r="C570" t="inlineStr">
        <is>
          <t>disneystore.com</t>
        </is>
      </c>
      <c r="D570" t="inlineStr">
        <is>
          <t>official</t>
        </is>
      </c>
      <c r="E570" t="inlineStr">
        <is>
          <t>search snippet / page</t>
        </is>
      </c>
      <c r="F570" t="inlineStr"/>
      <c r="G570" t="inlineStr"/>
      <c r="H570" t="inlineStr"/>
    </row>
    <row r="571">
      <c r="A571" t="inlineStr">
        <is>
          <t>PHS-0227</t>
        </is>
      </c>
      <c r="B571" t="inlineStr">
        <is>
          <t>https://www.disneystore.eu/celebrating-disney-pins-25th-anniversary-limited-edition-pin-set-series-3-of-4-438019877908.html</t>
        </is>
      </c>
      <c r="C571" t="inlineStr">
        <is>
          <t>disneystore.eu</t>
        </is>
      </c>
      <c r="D571" t="inlineStr">
        <is>
          <t>official</t>
        </is>
      </c>
      <c r="E571" t="inlineStr">
        <is>
          <t>search snippet / page</t>
        </is>
      </c>
      <c r="F571" t="inlineStr"/>
      <c r="G571" t="inlineStr"/>
      <c r="H571" t="inlineStr"/>
    </row>
    <row r="572">
      <c r="A572" t="inlineStr">
        <is>
          <t>PHS-0227</t>
        </is>
      </c>
      <c r="B572" t="inlineStr">
        <is>
          <t>https://disneypinsblog.com/the-muppets-celebrating-disney-pins-25th-anniversary-pin-set/</t>
        </is>
      </c>
      <c r="C572" t="inlineStr">
        <is>
          <t>disneypinsblog.com</t>
        </is>
      </c>
      <c r="D572" t="inlineStr">
        <is>
          <t>secondary</t>
        </is>
      </c>
      <c r="E572" t="inlineStr">
        <is>
          <t>search snippet / page</t>
        </is>
      </c>
      <c r="F572" t="inlineStr"/>
      <c r="G572" t="inlineStr"/>
      <c r="H572" t="inlineStr"/>
    </row>
    <row r="573">
      <c r="A573" t="inlineStr">
        <is>
          <t>PHS-0227</t>
        </is>
      </c>
      <c r="B573" t="inlineStr">
        <is>
          <t>https://disneypinventory.com/view_item.php?itemID=46456</t>
        </is>
      </c>
      <c r="C573" t="inlineStr">
        <is>
          <t>disneypinventory.com</t>
        </is>
      </c>
      <c r="D573" t="inlineStr">
        <is>
          <t>secondary</t>
        </is>
      </c>
      <c r="E573" t="inlineStr">
        <is>
          <t>search snippet / page</t>
        </is>
      </c>
      <c r="F573" t="inlineStr"/>
      <c r="G573" t="inlineStr"/>
      <c r="H573" t="inlineStr"/>
    </row>
    <row r="574">
      <c r="A574" t="inlineStr">
        <is>
          <t>PHS-0228</t>
        </is>
      </c>
      <c r="B574" t="inlineStr">
        <is>
          <t>https://www.disneystore.co.uk/mickey-and-friends-celebrating-disney-pins-25th-anniversary-limited-edition-pin-set-series-4-of-4-438010161518.html</t>
        </is>
      </c>
      <c r="C574" t="inlineStr">
        <is>
          <t>disneystore.co.uk</t>
        </is>
      </c>
      <c r="D574" t="inlineStr">
        <is>
          <t>official</t>
        </is>
      </c>
      <c r="E574" t="inlineStr">
        <is>
          <t>search snippet / page</t>
        </is>
      </c>
      <c r="F574" t="inlineStr"/>
      <c r="G574" t="inlineStr"/>
      <c r="H574" t="inlineStr"/>
    </row>
    <row r="575">
      <c r="A575" t="inlineStr">
        <is>
          <t>PHS-0228</t>
        </is>
      </c>
      <c r="B575" t="inlineStr">
        <is>
          <t>https://www.disneystore.eu/mickey-and-friends-celebrating-disney-pins-25th-anniversary-limited-edition-pin-set-series-4-of-4-438010161518.html</t>
        </is>
      </c>
      <c r="C575" t="inlineStr">
        <is>
          <t>disneystore.eu</t>
        </is>
      </c>
      <c r="D575" t="inlineStr">
        <is>
          <t>official</t>
        </is>
      </c>
      <c r="E575" t="inlineStr">
        <is>
          <t>search snippet / page</t>
        </is>
      </c>
      <c r="F575" t="inlineStr"/>
      <c r="G575" t="inlineStr"/>
      <c r="H575" t="inlineStr"/>
    </row>
    <row r="576">
      <c r="A576" t="inlineStr">
        <is>
          <t>PHS-0228</t>
        </is>
      </c>
      <c r="B576" t="inlineStr">
        <is>
          <t>https://www.dismerchandise.com/2025/10/08/mickey-mouse-and-friends-celebrating-disney-pins-25-pin-set-4-limited-edition-is-available-online/</t>
        </is>
      </c>
      <c r="C576" t="inlineStr">
        <is>
          <t>dismerchandise.com</t>
        </is>
      </c>
      <c r="D576" t="inlineStr">
        <is>
          <t>secondary</t>
        </is>
      </c>
      <c r="E576" t="inlineStr">
        <is>
          <t>search snippet / page</t>
        </is>
      </c>
      <c r="F576" t="inlineStr"/>
      <c r="G576" t="inlineStr"/>
      <c r="H576" t="inlineStr"/>
    </row>
    <row r="577">
      <c r="A577" t="inlineStr">
        <is>
          <t>PHS-0229</t>
        </is>
      </c>
      <c r="B577" t="inlineStr">
        <is>
          <t>https://disneypinsblog.com/disney-store-at-selfridges-the-magic-of-disney-pin-trading-event/</t>
        </is>
      </c>
      <c r="C577" t="inlineStr">
        <is>
          <t>disneypinsblog.com</t>
        </is>
      </c>
      <c r="D577" t="inlineStr">
        <is>
          <t>secondary</t>
        </is>
      </c>
      <c r="E577" t="inlineStr">
        <is>
          <t>search snippet / page</t>
        </is>
      </c>
      <c r="F577" t="inlineStr"/>
      <c r="G577" t="inlineStr"/>
      <c r="H577" t="inlineStr"/>
    </row>
    <row r="578">
      <c r="A578" t="inlineStr">
        <is>
          <t>PHS-0229</t>
        </is>
      </c>
      <c r="B578" t="inlineStr">
        <is>
          <t>https://disneypinventory.com/view_item.php?itemID=48199</t>
        </is>
      </c>
      <c r="C578" t="inlineStr">
        <is>
          <t>disneypinventory.com</t>
        </is>
      </c>
      <c r="D578" t="inlineStr">
        <is>
          <t>secondary</t>
        </is>
      </c>
      <c r="E578" t="inlineStr">
        <is>
          <t>search snippet / page</t>
        </is>
      </c>
      <c r="F578" t="inlineStr"/>
      <c r="G578" t="inlineStr"/>
      <c r="H578" t="inlineStr"/>
    </row>
    <row r="579">
      <c r="A579" t="inlineStr">
        <is>
          <t>PHS-0229</t>
        </is>
      </c>
      <c r="B579" t="inlineStr">
        <is>
          <t>https://disneypinventory.com/view_item.php?itemID=48200</t>
        </is>
      </c>
      <c r="C579" t="inlineStr">
        <is>
          <t>disneypinventory.com</t>
        </is>
      </c>
      <c r="D579" t="inlineStr">
        <is>
          <t>secondary</t>
        </is>
      </c>
      <c r="E579" t="inlineStr">
        <is>
          <t>search snippet / page</t>
        </is>
      </c>
      <c r="F579" t="inlineStr"/>
      <c r="G579" t="inlineStr"/>
      <c r="H579" t="inlineStr"/>
    </row>
    <row r="580">
      <c r="A580" t="inlineStr">
        <is>
          <t>PHS-0229</t>
        </is>
      </c>
      <c r="B580" t="inlineStr">
        <is>
          <t>https://mypincentral.com/pin/220842</t>
        </is>
      </c>
      <c r="C580" t="inlineStr">
        <is>
          <t>mypincentral.com</t>
        </is>
      </c>
      <c r="D580" t="inlineStr">
        <is>
          <t>secondary</t>
        </is>
      </c>
      <c r="E580" t="inlineStr">
        <is>
          <t>search snippet / page</t>
        </is>
      </c>
      <c r="F580" t="inlineStr"/>
      <c r="G580" t="inlineStr"/>
      <c r="H580" t="inlineStr"/>
    </row>
    <row r="581">
      <c r="A581" t="inlineStr">
        <is>
          <t>PHS-0229</t>
        </is>
      </c>
      <c r="B581" t="inlineStr">
        <is>
          <t>https://ridingthemagic.uk/news/magic-of-disney-pin-collection-launching-with-exclusive-selfridges-sell-out-event</t>
        </is>
      </c>
      <c r="C581" t="inlineStr">
        <is>
          <t>ridingthemagic.uk</t>
        </is>
      </c>
      <c r="D581" t="inlineStr">
        <is>
          <t>secondary</t>
        </is>
      </c>
      <c r="E581" t="inlineStr">
        <is>
          <t>search snippet / page</t>
        </is>
      </c>
      <c r="F581" t="inlineStr"/>
      <c r="G581" t="inlineStr"/>
      <c r="H581" t="inlineStr"/>
    </row>
    <row r="582">
      <c r="A582" t="inlineStr">
        <is>
          <t>PHS-0230</t>
        </is>
      </c>
      <c r="B582" t="inlineStr">
        <is>
          <t>https://disneypinventory.com/view_item.php?itemID=48199</t>
        </is>
      </c>
      <c r="C582" t="inlineStr">
        <is>
          <t>disneypinventory.com</t>
        </is>
      </c>
      <c r="D582" t="inlineStr">
        <is>
          <t>secondary</t>
        </is>
      </c>
      <c r="E582" t="inlineStr">
        <is>
          <t>search snippet / page</t>
        </is>
      </c>
      <c r="F582" t="inlineStr"/>
      <c r="G582" t="inlineStr"/>
      <c r="H582" t="inlineStr"/>
    </row>
    <row r="583">
      <c r="A583" t="inlineStr">
        <is>
          <t>PHS-0230</t>
        </is>
      </c>
      <c r="B583" t="inlineStr">
        <is>
          <t>https://mypincentral.com/pin/220842</t>
        </is>
      </c>
      <c r="C583" t="inlineStr">
        <is>
          <t>mypincentral.com</t>
        </is>
      </c>
      <c r="D583" t="inlineStr">
        <is>
          <t>secondary</t>
        </is>
      </c>
      <c r="E583" t="inlineStr">
        <is>
          <t>search snippet / page</t>
        </is>
      </c>
      <c r="F583" t="inlineStr"/>
      <c r="G583" t="inlineStr"/>
      <c r="H583" t="inlineStr"/>
    </row>
    <row r="584">
      <c r="A584" t="inlineStr">
        <is>
          <t>PHS-0230</t>
        </is>
      </c>
      <c r="B584" t="inlineStr">
        <is>
          <t>https://ridingthemagic.uk/news/magic-of-disney-pin-collection-launching-with-exclusive-selfridges-sell-out-event</t>
        </is>
      </c>
      <c r="C584" t="inlineStr">
        <is>
          <t>ridingthemagic.uk</t>
        </is>
      </c>
      <c r="D584" t="inlineStr">
        <is>
          <t>secondary</t>
        </is>
      </c>
      <c r="E584" t="inlineStr">
        <is>
          <t>search snippet / page</t>
        </is>
      </c>
      <c r="F584" t="inlineStr"/>
      <c r="G584" t="inlineStr"/>
      <c r="H584" t="inlineStr"/>
    </row>
    <row r="585">
      <c r="A585" t="inlineStr">
        <is>
          <t>PHS-0231</t>
        </is>
      </c>
      <c r="B585" t="inlineStr">
        <is>
          <t>https://www.disneystore.co.uk/fathers-day</t>
        </is>
      </c>
      <c r="C585" t="inlineStr">
        <is>
          <t>disneystore.co.uk</t>
        </is>
      </c>
      <c r="D585" t="inlineStr">
        <is>
          <t>official</t>
        </is>
      </c>
      <c r="E585" t="inlineStr">
        <is>
          <t>search snippet / page</t>
        </is>
      </c>
      <c r="F585" t="inlineStr"/>
      <c r="G585" t="inlineStr"/>
      <c r="H585" t="inlineStr"/>
    </row>
    <row r="586">
      <c r="A586" t="inlineStr">
        <is>
          <t>PHS-0231</t>
        </is>
      </c>
      <c r="B586" t="inlineStr">
        <is>
          <t>https://www.disneystore.com/ariel-and-king-triton-fathers-day-2026-pin-the-little-mermaid-limited-release-438010245805.html</t>
        </is>
      </c>
      <c r="C586" t="inlineStr">
        <is>
          <t>disneystore.com</t>
        </is>
      </c>
      <c r="D586" t="inlineStr">
        <is>
          <t>official</t>
        </is>
      </c>
      <c r="E586" t="inlineStr">
        <is>
          <t>search snippet / page</t>
        </is>
      </c>
      <c r="F586" t="inlineStr"/>
      <c r="G586" t="inlineStr"/>
      <c r="H586" t="inlineStr"/>
    </row>
    <row r="587">
      <c r="A587" t="inlineStr">
        <is>
          <t>PHS-0231</t>
        </is>
      </c>
      <c r="B587" t="inlineStr">
        <is>
          <t>https://wdwnt.com/2026/06/ariel-and-triton-fathers-day-pin-and-finding-dory-10th-anniversary-pin-released-online/</t>
        </is>
      </c>
      <c r="C587" t="inlineStr">
        <is>
          <t>wdwnt.com</t>
        </is>
      </c>
      <c r="D587" t="inlineStr">
        <is>
          <t>secondary</t>
        </is>
      </c>
      <c r="E587" t="inlineStr">
        <is>
          <t>search snippet / page</t>
        </is>
      </c>
      <c r="F587" t="inlineStr"/>
      <c r="G587" t="inlineStr"/>
      <c r="H587" t="inlineStr"/>
    </row>
    <row r="588">
      <c r="A588" t="inlineStr">
        <is>
          <t>PHS-0232</t>
        </is>
      </c>
      <c r="B588" t="inlineStr">
        <is>
          <t>https://www.disneystore.asia/experiment-626-2026-mystery-pin-blind-pack-lilo-stitch-438010927985.html</t>
        </is>
      </c>
      <c r="C588" t="inlineStr">
        <is>
          <t>disneystore.asia</t>
        </is>
      </c>
      <c r="D588" t="inlineStr">
        <is>
          <t>official</t>
        </is>
      </c>
      <c r="E588" t="inlineStr">
        <is>
          <t>search snippet / page</t>
        </is>
      </c>
      <c r="F588" t="inlineStr"/>
      <c r="G588" t="inlineStr"/>
      <c r="H588" t="inlineStr"/>
    </row>
    <row r="589">
      <c r="A589" t="inlineStr">
        <is>
          <t>PHS-0232</t>
        </is>
      </c>
      <c r="B589" t="inlineStr">
        <is>
          <t>https://www.disneystore.co.uk/collectibles/limited-edition</t>
        </is>
      </c>
      <c r="C589" t="inlineStr">
        <is>
          <t>disneystore.co.uk</t>
        </is>
      </c>
      <c r="D589" t="inlineStr">
        <is>
          <t>official</t>
        </is>
      </c>
      <c r="E589" t="inlineStr">
        <is>
          <t>search snippet / page</t>
        </is>
      </c>
      <c r="F589" t="inlineStr"/>
      <c r="G589" t="inlineStr"/>
      <c r="H589" t="inlineStr"/>
    </row>
    <row r="590">
      <c r="A590" t="inlineStr">
        <is>
          <t>PHS-0232</t>
        </is>
      </c>
      <c r="B590" t="inlineStr">
        <is>
          <t>https://www.dismerchandise.com/2026/07/01/experiment-626-day-2026-mystery-pin-blind-pack-lilo-stitch-limited-release/</t>
        </is>
      </c>
      <c r="C590" t="inlineStr">
        <is>
          <t>dismerchandise.com</t>
        </is>
      </c>
      <c r="D590" t="inlineStr">
        <is>
          <t>secondary</t>
        </is>
      </c>
      <c r="E590" t="inlineStr">
        <is>
          <t>search snippet / page</t>
        </is>
      </c>
      <c r="F590" t="inlineStr"/>
      <c r="G590" t="inlineStr"/>
      <c r="H590" t="inlineStr"/>
    </row>
    <row r="591">
      <c r="A591" t="inlineStr">
        <is>
          <t>PHS-0233</t>
        </is>
      </c>
      <c r="B591" t="inlineStr">
        <is>
          <t>https://www.disneystore.com.au/101-dalmatians-limited-edition-pin-438011727072.html</t>
        </is>
      </c>
      <c r="C591" t="inlineStr">
        <is>
          <t>disneystore.com.au</t>
        </is>
      </c>
      <c r="D591" t="inlineStr">
        <is>
          <t>official</t>
        </is>
      </c>
      <c r="E591" t="inlineStr">
        <is>
          <t>search snippet / page</t>
        </is>
      </c>
      <c r="F591" t="inlineStr"/>
      <c r="G591" t="inlineStr"/>
      <c r="H591" t="inlineStr"/>
    </row>
    <row r="592">
      <c r="A592" t="inlineStr">
        <is>
          <t>PHS-0233</t>
        </is>
      </c>
      <c r="B592" t="inlineStr">
        <is>
          <t>https://www.disneystore.com.au/nz/rhino-limited-edition-pin-438011731192.html</t>
        </is>
      </c>
      <c r="C592" t="inlineStr">
        <is>
          <t>disneystore.com.au</t>
        </is>
      </c>
      <c r="D592" t="inlineStr">
        <is>
          <t>official</t>
        </is>
      </c>
      <c r="E592" t="inlineStr">
        <is>
          <t>search snippet / page</t>
        </is>
      </c>
      <c r="F592" t="inlineStr"/>
      <c r="G592" t="inlineStr"/>
      <c r="H592" t="inlineStr"/>
    </row>
    <row r="593">
      <c r="A593" t="inlineStr">
        <is>
          <t>PHS-0233</t>
        </is>
      </c>
      <c r="B593" t="inlineStr">
        <is>
          <t>https://www.disneystore.com.au/nz/stitch-limited-edition-pin-438011727232.html</t>
        </is>
      </c>
      <c r="C593" t="inlineStr">
        <is>
          <t>disneystore.com.au</t>
        </is>
      </c>
      <c r="D593" t="inlineStr">
        <is>
          <t>official</t>
        </is>
      </c>
      <c r="E593" t="inlineStr">
        <is>
          <t>search snippet / page</t>
        </is>
      </c>
      <c r="F593" t="inlineStr"/>
      <c r="G593" t="inlineStr"/>
      <c r="H593" t="inlineStr"/>
    </row>
    <row r="594">
      <c r="A594" t="inlineStr">
        <is>
          <t>PHS-0233</t>
        </is>
      </c>
      <c r="B594" t="inlineStr">
        <is>
          <t>https://www.disneystore.com.au/pascal-limited-edition-pin-438011731277.html</t>
        </is>
      </c>
      <c r="C594" t="inlineStr">
        <is>
          <t>disneystore.com.au</t>
        </is>
      </c>
      <c r="D594" t="inlineStr">
        <is>
          <t>official</t>
        </is>
      </c>
      <c r="E594" t="inlineStr">
        <is>
          <t>search snippet / page</t>
        </is>
      </c>
      <c r="F594" t="inlineStr"/>
      <c r="G594" t="inlineStr"/>
      <c r="H594" t="inlineStr"/>
    </row>
    <row r="595">
      <c r="A595" t="inlineStr">
        <is>
          <t>PHS-0233</t>
        </is>
      </c>
      <c r="B595" t="inlineStr">
        <is>
          <t>https://www.disneystore.com.au/sven-limited-edition-pin-frozen-438011731925.html</t>
        </is>
      </c>
      <c r="C595" t="inlineStr">
        <is>
          <t>disneystore.com.au</t>
        </is>
      </c>
      <c r="D595" t="inlineStr">
        <is>
          <t>official</t>
        </is>
      </c>
      <c r="E595" t="inlineStr">
        <is>
          <t>search snippet / page</t>
        </is>
      </c>
      <c r="F595" t="inlineStr"/>
      <c r="G595" t="inlineStr"/>
      <c r="H595" t="inlineStr"/>
    </row>
    <row r="596">
      <c r="A596" t="inlineStr">
        <is>
          <t>PHS-0233</t>
        </is>
      </c>
      <c r="B596" t="inlineStr">
        <is>
          <t>https://www.disneystore.com.au/tails-of-friendship-pin-trading-event/Tails-of-Friendship-Pin-Trading-Event.html</t>
        </is>
      </c>
      <c r="C596" t="inlineStr">
        <is>
          <t>disneystore.com.au</t>
        </is>
      </c>
      <c r="D596" t="inlineStr">
        <is>
          <t>official</t>
        </is>
      </c>
      <c r="E596" t="inlineStr">
        <is>
          <t>search snippet / page</t>
        </is>
      </c>
      <c r="F596" t="inlineStr"/>
      <c r="G596" t="inlineStr"/>
      <c r="H596" t="inlineStr"/>
    </row>
    <row r="597">
      <c r="A597" t="inlineStr">
        <is>
          <t>PHS-0234</t>
        </is>
      </c>
      <c r="B597" t="inlineStr">
        <is>
          <t>https://www.disneystore.co.uk/spider-man-and-hulk-limited-release-pin-spider-man-brand-new-day-438011206980.html</t>
        </is>
      </c>
      <c r="C597" t="inlineStr">
        <is>
          <t>disneystore.co.uk</t>
        </is>
      </c>
      <c r="D597" t="inlineStr">
        <is>
          <t>official</t>
        </is>
      </c>
      <c r="E597" t="inlineStr">
        <is>
          <t>search snippet / page</t>
        </is>
      </c>
      <c r="F597" t="inlineStr"/>
      <c r="G597" t="inlineStr"/>
      <c r="H597" t="inlineStr"/>
    </row>
    <row r="598">
      <c r="A598" t="inlineStr">
        <is>
          <t>PHS-0234</t>
        </is>
      </c>
      <c r="B598" t="inlineStr">
        <is>
          <t>https://www.disneystore.eu/spider-man-and-hulk-limited-release-pin-spider-man-brand-new-day-438011206980.html</t>
        </is>
      </c>
      <c r="C598" t="inlineStr">
        <is>
          <t>disneystore.eu</t>
        </is>
      </c>
      <c r="D598" t="inlineStr">
        <is>
          <t>official</t>
        </is>
      </c>
      <c r="E598" t="inlineStr">
        <is>
          <t>search snippet / page</t>
        </is>
      </c>
      <c r="F598" t="inlineStr"/>
      <c r="G598" t="inlineStr"/>
      <c r="H598" t="inlineStr"/>
    </row>
    <row r="599">
      <c r="A599" t="inlineStr">
        <is>
          <t>PHS-0234</t>
        </is>
      </c>
      <c r="B599" t="inlineStr">
        <is>
          <t>https://disneypinsblog.com/product/spider-man-and-hulk-spider-man-brand-new-day-pin/</t>
        </is>
      </c>
      <c r="C599" t="inlineStr">
        <is>
          <t>disneypinsblog.com</t>
        </is>
      </c>
      <c r="D599" t="inlineStr">
        <is>
          <t>secondary</t>
        </is>
      </c>
      <c r="E599" t="inlineStr">
        <is>
          <t>search snippet / page</t>
        </is>
      </c>
      <c r="F599" t="inlineStr"/>
      <c r="G599" t="inlineStr"/>
      <c r="H599" t="inlineStr"/>
    </row>
    <row r="600">
      <c r="A600" t="inlineStr">
        <is>
          <t>PHS-0234</t>
        </is>
      </c>
      <c r="B600" t="inlineStr">
        <is>
          <t>https://wdwnt.com/2026/06/walt-disney-world-pin-tuesday-limited-edition-disney-rewards-rebel-pilot-luke-and-spider-man-brand-new-day-pins-released/</t>
        </is>
      </c>
      <c r="C600" t="inlineStr">
        <is>
          <t>wdwnt.com</t>
        </is>
      </c>
      <c r="D600" t="inlineStr">
        <is>
          <t>secondary</t>
        </is>
      </c>
      <c r="E600" t="inlineStr">
        <is>
          <t>search snippet / page</t>
        </is>
      </c>
      <c r="F600" t="inlineStr"/>
      <c r="G600" t="inlineStr"/>
      <c r="H600" t="inlineStr"/>
    </row>
    <row r="601">
      <c r="A601" t="inlineStr">
        <is>
          <t>PHS-0234</t>
        </is>
      </c>
      <c r="B601" t="inlineStr">
        <is>
          <t>https://www.dismerchandise.com/2026/07/08/spider-man-and-hulk-pin-spider-man-brand-new-day-limited-release/</t>
        </is>
      </c>
      <c r="C601" t="inlineStr">
        <is>
          <t>dismerchandise.com</t>
        </is>
      </c>
      <c r="D601" t="inlineStr">
        <is>
          <t>secondary</t>
        </is>
      </c>
      <c r="E601" t="inlineStr">
        <is>
          <t>search snippet / page</t>
        </is>
      </c>
      <c r="F601" t="inlineStr"/>
      <c r="G601" t="inlineStr"/>
      <c r="H601" t="inlineStr"/>
    </row>
    <row r="602">
      <c r="A602" t="inlineStr">
        <is>
          <t>PHS-0235</t>
        </is>
      </c>
      <c r="B602" t="inlineStr">
        <is>
          <t>https://wdwnt.com/2023/01/disney-100th-anniversary-plush-pins-wdw/</t>
        </is>
      </c>
      <c r="C602" t="inlineStr">
        <is>
          <t>wdwnt.com</t>
        </is>
      </c>
      <c r="D602" t="inlineStr">
        <is>
          <t>secondary</t>
        </is>
      </c>
      <c r="E602" t="inlineStr">
        <is>
          <t>search snippet / page</t>
        </is>
      </c>
      <c r="F602" t="inlineStr"/>
      <c r="G602" t="inlineStr"/>
      <c r="H602" t="inlineStr"/>
    </row>
    <row r="603">
      <c r="A603" t="inlineStr">
        <is>
          <t>PHS-0236</t>
        </is>
      </c>
      <c r="B603" t="inlineStr">
        <is>
          <t>https://wdwnt.com/2023/01/limited-merchandise-2023-epcot-festival-of-arts/</t>
        </is>
      </c>
      <c r="C603" t="inlineStr">
        <is>
          <t>wdwnt.com</t>
        </is>
      </c>
      <c r="D603" t="inlineStr">
        <is>
          <t>secondary</t>
        </is>
      </c>
      <c r="E603" t="inlineStr">
        <is>
          <t>search snippet / page</t>
        </is>
      </c>
      <c r="F603" t="inlineStr"/>
      <c r="G603" t="inlineStr"/>
      <c r="H603" t="inlineStr"/>
    </row>
    <row r="604">
      <c r="A604" t="inlineStr">
        <is>
          <t>PHS-0237</t>
        </is>
      </c>
      <c r="B604" t="inlineStr">
        <is>
          <t>https://disneypinsblog.com/epcot-international-festival-of-the-holidays-2023-disney-pins/</t>
        </is>
      </c>
      <c r="C604" t="inlineStr">
        <is>
          <t>disneypinsblog.com</t>
        </is>
      </c>
      <c r="D604" t="inlineStr">
        <is>
          <t>secondary</t>
        </is>
      </c>
      <c r="E604" t="inlineStr">
        <is>
          <t>search snippet / page</t>
        </is>
      </c>
      <c r="F604" t="inlineStr"/>
      <c r="G604" t="inlineStr"/>
      <c r="H604" t="inlineStr"/>
    </row>
    <row r="605">
      <c r="A605" t="inlineStr">
        <is>
          <t>PHS-0237</t>
        </is>
      </c>
      <c r="B605" t="inlineStr">
        <is>
          <t>https://wdwnt.com/2023/08/christmas-festival-of-the-holidays-2023-pins/</t>
        </is>
      </c>
      <c r="C605" t="inlineStr">
        <is>
          <t>wdwnt.com</t>
        </is>
      </c>
      <c r="D605" t="inlineStr">
        <is>
          <t>secondary</t>
        </is>
      </c>
      <c r="E605" t="inlineStr">
        <is>
          <t>search snippet / page</t>
        </is>
      </c>
      <c r="F605" t="inlineStr"/>
      <c r="G605" t="inlineStr"/>
      <c r="H605" t="inlineStr"/>
    </row>
    <row r="606">
      <c r="A606" t="inlineStr">
        <is>
          <t>PHS-0237</t>
        </is>
      </c>
      <c r="B606" t="inlineStr">
        <is>
          <t>https://wdwnt.com/2023/11/full-list-with-prices-of-2023-epcot-international-festival-of-the-holidays-merchandise/</t>
        </is>
      </c>
      <c r="C606" t="inlineStr">
        <is>
          <t>wdwnt.com</t>
        </is>
      </c>
      <c r="D606" t="inlineStr">
        <is>
          <t>secondary</t>
        </is>
      </c>
      <c r="E606" t="inlineStr">
        <is>
          <t>search snippet / page</t>
        </is>
      </c>
      <c r="F606" t="inlineStr"/>
      <c r="G606" t="inlineStr"/>
      <c r="H606" t="inlineStr"/>
    </row>
    <row r="607">
      <c r="A607" t="inlineStr">
        <is>
          <t>PHS-0238</t>
        </is>
      </c>
      <c r="B607" t="inlineStr">
        <is>
          <t>https://disneypinsblog.com/epcot-international-flower-garden-festival-2023-disney-pins/</t>
        </is>
      </c>
      <c r="C607" t="inlineStr">
        <is>
          <t>disneypinsblog.com</t>
        </is>
      </c>
      <c r="D607" t="inlineStr">
        <is>
          <t>secondary</t>
        </is>
      </c>
      <c r="E607" t="inlineStr">
        <is>
          <t>search snippet / page</t>
        </is>
      </c>
      <c r="F607" t="inlineStr"/>
      <c r="G607" t="inlineStr"/>
      <c r="H607" t="inlineStr"/>
    </row>
    <row r="608">
      <c r="A608" t="inlineStr">
        <is>
          <t>PHS-0238</t>
        </is>
      </c>
      <c r="B608" t="inlineStr">
        <is>
          <t>https://mickeyblog.com/2023/03/01/all-the-merchandise-at-the-2023-epcot-flower-garden-festival/</t>
        </is>
      </c>
      <c r="C608" t="inlineStr">
        <is>
          <t>mickeyblog.com</t>
        </is>
      </c>
      <c r="D608" t="inlineStr">
        <is>
          <t>secondary</t>
        </is>
      </c>
      <c r="E608" t="inlineStr">
        <is>
          <t>search snippet / page</t>
        </is>
      </c>
      <c r="F608" t="inlineStr"/>
      <c r="G608" t="inlineStr"/>
      <c r="H608" t="inlineStr"/>
    </row>
    <row r="609">
      <c r="A609" t="inlineStr">
        <is>
          <t>PHS-0238</t>
        </is>
      </c>
      <c r="B609" t="inlineStr">
        <is>
          <t>https://mickeyblog.com/2023/03/01/epcots-flower-garden-festival-unveils-stunning-new-pins/</t>
        </is>
      </c>
      <c r="C609" t="inlineStr">
        <is>
          <t>mickeyblog.com</t>
        </is>
      </c>
      <c r="D609" t="inlineStr">
        <is>
          <t>secondary</t>
        </is>
      </c>
      <c r="E609" t="inlineStr">
        <is>
          <t>search snippet / page</t>
        </is>
      </c>
      <c r="F609" t="inlineStr"/>
      <c r="G609" t="inlineStr"/>
      <c r="H609" t="inlineStr"/>
    </row>
    <row r="610">
      <c r="A610" t="inlineStr">
        <is>
          <t>PHS-0238</t>
        </is>
      </c>
      <c r="B610" t="inlineStr">
        <is>
          <t>https://wdwnt.com/2023/03/passholder-exclusive-corkcicle-shirt-and-limited-release-pin-at-epcot-international-flower-garden-festival-2023/</t>
        </is>
      </c>
      <c r="C610" t="inlineStr">
        <is>
          <t>wdwnt.com</t>
        </is>
      </c>
      <c r="D610" t="inlineStr">
        <is>
          <t>secondary</t>
        </is>
      </c>
      <c r="E610" t="inlineStr">
        <is>
          <t>search snippet / page</t>
        </is>
      </c>
      <c r="F610" t="inlineStr"/>
      <c r="G610" t="inlineStr"/>
      <c r="H610" t="inlineStr"/>
    </row>
    <row r="611">
      <c r="A611" t="inlineStr">
        <is>
          <t>PHS-0238</t>
        </is>
      </c>
      <c r="B611" t="inlineStr">
        <is>
          <t>https://www.disneyfoodblog.com/2023/03/01/hide-your-wallet-all-the-2023-epcot-flower-and-garden-festival-merchandise-is-here/</t>
        </is>
      </c>
      <c r="C611" t="inlineStr">
        <is>
          <t>disneyfoodblog.com</t>
        </is>
      </c>
      <c r="D611" t="inlineStr">
        <is>
          <t>secondary</t>
        </is>
      </c>
      <c r="E611" t="inlineStr">
        <is>
          <t>search snippet / page</t>
        </is>
      </c>
      <c r="F611" t="inlineStr"/>
      <c r="G611" t="inlineStr"/>
      <c r="H611" t="inlineStr"/>
    </row>
    <row r="612">
      <c r="A612" t="inlineStr">
        <is>
          <t>PHS-0239</t>
        </is>
      </c>
      <c r="B612" t="inlineStr">
        <is>
          <t>https://disneypinsblog.com/epcot-international-flower-garden-festival-2023-disney-pins/</t>
        </is>
      </c>
      <c r="C612" t="inlineStr">
        <is>
          <t>disneypinsblog.com</t>
        </is>
      </c>
      <c r="D612" t="inlineStr">
        <is>
          <t>secondary</t>
        </is>
      </c>
      <c r="E612" t="inlineStr">
        <is>
          <t>search snippet / page</t>
        </is>
      </c>
      <c r="F612" t="inlineStr"/>
      <c r="G612" t="inlineStr"/>
      <c r="H612" t="inlineStr"/>
    </row>
    <row r="613">
      <c r="A613" t="inlineStr">
        <is>
          <t>PHS-0239</t>
        </is>
      </c>
      <c r="B613" t="inlineStr">
        <is>
          <t>https://www.disneyfoodblog.com/2023/03/01/hide-your-wallet-all-the-2023-epcot-flower-and-garden-festival-merchandise-is-here/</t>
        </is>
      </c>
      <c r="C613" t="inlineStr">
        <is>
          <t>disneyfoodblog.com</t>
        </is>
      </c>
      <c r="D613" t="inlineStr">
        <is>
          <t>secondary</t>
        </is>
      </c>
      <c r="E613" t="inlineStr">
        <is>
          <t>search snippet / page</t>
        </is>
      </c>
      <c r="F613" t="inlineStr"/>
      <c r="G613" t="inlineStr"/>
      <c r="H613" t="inlineStr"/>
    </row>
    <row r="614">
      <c r="A614" t="inlineStr">
        <is>
          <t>PHS-0240</t>
        </is>
      </c>
      <c r="B614" t="inlineStr">
        <is>
          <t>https://wdwnt.com/2023/10/new-happy-holidays-pin-passholder-exclusive-holiday-pin-set-at-walt-disney-world/</t>
        </is>
      </c>
      <c r="C614" t="inlineStr">
        <is>
          <t>wdwnt.com</t>
        </is>
      </c>
      <c r="D614" t="inlineStr">
        <is>
          <t>secondary</t>
        </is>
      </c>
      <c r="E614" t="inlineStr">
        <is>
          <t>search snippet / page</t>
        </is>
      </c>
      <c r="F614" t="inlineStr"/>
      <c r="G614" t="inlineStr"/>
      <c r="H614" t="inlineStr"/>
    </row>
    <row r="615">
      <c r="A615" t="inlineStr">
        <is>
          <t>PHS-0241</t>
        </is>
      </c>
      <c r="B615" t="inlineStr">
        <is>
          <t>https://wdwnt.com/2023/10/new-happy-holidays-pin-passholder-exclusive-holiday-pin-set-at-walt-disney-world/</t>
        </is>
      </c>
      <c r="C615" t="inlineStr">
        <is>
          <t>wdwnt.com</t>
        </is>
      </c>
      <c r="D615" t="inlineStr">
        <is>
          <t>secondary</t>
        </is>
      </c>
      <c r="E615" t="inlineStr">
        <is>
          <t>search snippet / page</t>
        </is>
      </c>
      <c r="F615" t="inlineStr"/>
      <c r="G615" t="inlineStr"/>
      <c r="H615" t="inlineStr"/>
    </row>
    <row r="616">
      <c r="A616" t="inlineStr">
        <is>
          <t>PHS-0242</t>
        </is>
      </c>
      <c r="B616" t="inlineStr">
        <is>
          <t>https://wdwnt.com/2023/10/new-philharmagic-20th-anniversary-pin-christmas-pins-star-wars-pins-and-more-at-walt-disney-world/</t>
        </is>
      </c>
      <c r="C616" t="inlineStr">
        <is>
          <t>wdwnt.com</t>
        </is>
      </c>
      <c r="D616" t="inlineStr">
        <is>
          <t>secondary</t>
        </is>
      </c>
      <c r="E616" t="inlineStr">
        <is>
          <t>search snippet / page</t>
        </is>
      </c>
      <c r="F616" t="inlineStr"/>
      <c r="G616" t="inlineStr"/>
      <c r="H616" t="inlineStr"/>
    </row>
    <row r="617">
      <c r="A617" t="inlineStr">
        <is>
          <t>PHS-0243</t>
        </is>
      </c>
      <c r="B617" t="inlineStr">
        <is>
          <t>https://disneypinsblog.com/epcot-international-food-wine-festival-2024-disney-pins/</t>
        </is>
      </c>
      <c r="C617" t="inlineStr">
        <is>
          <t>disneypinsblog.com</t>
        </is>
      </c>
      <c r="D617" t="inlineStr">
        <is>
          <t>secondary</t>
        </is>
      </c>
      <c r="E617" t="inlineStr">
        <is>
          <t>search snippet / page</t>
        </is>
      </c>
      <c r="F617" t="inlineStr"/>
      <c r="G617" t="inlineStr"/>
      <c r="H617" t="inlineStr"/>
    </row>
    <row r="618">
      <c r="A618" t="inlineStr">
        <is>
          <t>PHS-0243</t>
        </is>
      </c>
      <c r="B618" t="inlineStr">
        <is>
          <t>https://mickeyblog.com/2024/08/29/all-of-epcots-new-2024-food-wine-festival-merchandise/</t>
        </is>
      </c>
      <c r="C618" t="inlineStr">
        <is>
          <t>mickeyblog.com</t>
        </is>
      </c>
      <c r="D618" t="inlineStr">
        <is>
          <t>secondary</t>
        </is>
      </c>
      <c r="E618" t="inlineStr">
        <is>
          <t>search snippet / page</t>
        </is>
      </c>
      <c r="F618" t="inlineStr"/>
      <c r="G618" t="inlineStr"/>
      <c r="H618" t="inlineStr"/>
    </row>
    <row r="619">
      <c r="A619" t="inlineStr">
        <is>
          <t>PHS-0243</t>
        </is>
      </c>
      <c r="B619" t="inlineStr">
        <is>
          <t>https://mypincentral.com/pin/207533</t>
        </is>
      </c>
      <c r="C619" t="inlineStr">
        <is>
          <t>mypincentral.com</t>
        </is>
      </c>
      <c r="D619" t="inlineStr">
        <is>
          <t>secondary</t>
        </is>
      </c>
      <c r="E619" t="inlineStr">
        <is>
          <t>search snippet / page</t>
        </is>
      </c>
      <c r="F619" t="inlineStr"/>
      <c r="G619" t="inlineStr"/>
      <c r="H619" t="inlineStr"/>
    </row>
    <row r="620">
      <c r="A620" t="inlineStr">
        <is>
          <t>PHS-0243</t>
        </is>
      </c>
      <c r="B620" t="inlineStr">
        <is>
          <t>https://wdwnt.com/2024/08/list-of-2024-epcot-food-wine-festival-merch/</t>
        </is>
      </c>
      <c r="C620" t="inlineStr">
        <is>
          <t>wdwnt.com</t>
        </is>
      </c>
      <c r="D620" t="inlineStr">
        <is>
          <t>secondary</t>
        </is>
      </c>
      <c r="E620" t="inlineStr">
        <is>
          <t>search snippet / page</t>
        </is>
      </c>
      <c r="F620" t="inlineStr"/>
      <c r="G620" t="inlineStr"/>
      <c r="H620" t="inlineStr"/>
    </row>
    <row r="621">
      <c r="A621" t="inlineStr">
        <is>
          <t>PHS-0244</t>
        </is>
      </c>
      <c r="B621" t="inlineStr">
        <is>
          <t>https://disneypinsblog.com/blogs/news/mickeys-very-merry-christmas-party-2024-disney-pins</t>
        </is>
      </c>
      <c r="C621" t="inlineStr">
        <is>
          <t>disneypinsblog.com</t>
        </is>
      </c>
      <c r="D621" t="inlineStr">
        <is>
          <t>secondary</t>
        </is>
      </c>
      <c r="E621" t="inlineStr">
        <is>
          <t>search snippet / page</t>
        </is>
      </c>
      <c r="F621" t="inlineStr"/>
      <c r="G621" t="inlineStr"/>
      <c r="H621" t="inlineStr"/>
    </row>
    <row r="622">
      <c r="A622" t="inlineStr">
        <is>
          <t>PHS-0244</t>
        </is>
      </c>
      <c r="B622" t="inlineStr">
        <is>
          <t>https://disneypinsblog.com/mickeys-very-merry-christmas-party-2024-disney-pins/</t>
        </is>
      </c>
      <c r="C622" t="inlineStr">
        <is>
          <t>disneypinsblog.com</t>
        </is>
      </c>
      <c r="D622" t="inlineStr">
        <is>
          <t>secondary</t>
        </is>
      </c>
      <c r="E622" t="inlineStr">
        <is>
          <t>search snippet / page</t>
        </is>
      </c>
      <c r="F622" t="inlineStr"/>
      <c r="G622" t="inlineStr"/>
      <c r="H622" t="inlineStr"/>
    </row>
    <row r="623">
      <c r="A623" t="inlineStr">
        <is>
          <t>PHS-0244</t>
        </is>
      </c>
      <c r="B623" t="inlineStr">
        <is>
          <t>https://mickeyblog.com/2024/11/08/all-of-the-merchandise-for-mickeys-very-merry-christmas-party-2024/</t>
        </is>
      </c>
      <c r="C623" t="inlineStr">
        <is>
          <t>mickeyblog.com</t>
        </is>
      </c>
      <c r="D623" t="inlineStr">
        <is>
          <t>secondary</t>
        </is>
      </c>
      <c r="E623" t="inlineStr">
        <is>
          <t>search snippet / page</t>
        </is>
      </c>
      <c r="F623" t="inlineStr"/>
      <c r="G623" t="inlineStr"/>
      <c r="H623" t="inlineStr"/>
    </row>
    <row r="624">
      <c r="A624" t="inlineStr">
        <is>
          <t>PHS-0244</t>
        </is>
      </c>
      <c r="B624" t="inlineStr">
        <is>
          <t>https://wdwnt.com/2024/11/2024-mickeys-very-merry-christmas-party-merch/</t>
        </is>
      </c>
      <c r="C624" t="inlineStr">
        <is>
          <t>wdwnt.com</t>
        </is>
      </c>
      <c r="D624" t="inlineStr">
        <is>
          <t>secondary</t>
        </is>
      </c>
      <c r="E624" t="inlineStr">
        <is>
          <t>search snippet / page</t>
        </is>
      </c>
      <c r="F624" t="inlineStr"/>
      <c r="G624" t="inlineStr"/>
      <c r="H624" t="inlineStr"/>
    </row>
    <row r="625">
      <c r="A625" t="inlineStr">
        <is>
          <t>PHS-0245</t>
        </is>
      </c>
      <c r="B625" t="inlineStr">
        <is>
          <t>https://disneypinsblog.com/tianas-bayou-adventure-grand-opening-disney-pins/</t>
        </is>
      </c>
      <c r="C625" t="inlineStr">
        <is>
          <t>disneypinsblog.com</t>
        </is>
      </c>
      <c r="D625" t="inlineStr">
        <is>
          <t>secondary</t>
        </is>
      </c>
      <c r="E625" t="inlineStr">
        <is>
          <t>search snippet / page</t>
        </is>
      </c>
      <c r="F625" t="inlineStr"/>
      <c r="G625" t="inlineStr"/>
      <c r="H625" t="inlineStr"/>
    </row>
    <row r="626">
      <c r="A626" t="inlineStr">
        <is>
          <t>PHS-0245</t>
        </is>
      </c>
      <c r="B626" t="inlineStr">
        <is>
          <t>https://wdwnt.com/2024/06/tianas-bayou-adventure-opening-merchandise-wdw/</t>
        </is>
      </c>
      <c r="C626" t="inlineStr">
        <is>
          <t>wdwnt.com</t>
        </is>
      </c>
      <c r="D626" t="inlineStr">
        <is>
          <t>secondary</t>
        </is>
      </c>
      <c r="E626" t="inlineStr">
        <is>
          <t>search snippet / page</t>
        </is>
      </c>
      <c r="F626" t="inlineStr"/>
      <c r="G626" t="inlineStr"/>
      <c r="H626" t="inlineStr"/>
    </row>
    <row r="627">
      <c r="A627" t="inlineStr">
        <is>
          <t>PHS-0246</t>
        </is>
      </c>
      <c r="B627" t="inlineStr">
        <is>
          <t>https://disneypinsblog.com/new-disney-pins-february-2023-week-1/</t>
        </is>
      </c>
      <c r="C627" t="inlineStr">
        <is>
          <t>disneypinsblog.com</t>
        </is>
      </c>
      <c r="D627" t="inlineStr">
        <is>
          <t>secondary</t>
        </is>
      </c>
      <c r="E627" t="inlineStr">
        <is>
          <t>search snippet / page</t>
        </is>
      </c>
      <c r="F627" t="inlineStr"/>
      <c r="G627" t="inlineStr"/>
      <c r="H627" t="inlineStr"/>
    </row>
    <row r="628">
      <c r="A628" t="inlineStr">
        <is>
          <t>PHS-0246</t>
        </is>
      </c>
      <c r="B628" t="inlineStr">
        <is>
          <t>https://wdwnt.com/2023/02/disney100-and-limited-edition-the-disney-afternoon-pins-now-available-at-walt-disney-world/</t>
        </is>
      </c>
      <c r="C628" t="inlineStr">
        <is>
          <t>wdwnt.com</t>
        </is>
      </c>
      <c r="D628" t="inlineStr">
        <is>
          <t>secondary</t>
        </is>
      </c>
      <c r="E628" t="inlineStr">
        <is>
          <t>search snippet / page</t>
        </is>
      </c>
      <c r="F628" t="inlineStr"/>
      <c r="G628" t="inlineStr"/>
      <c r="H628" t="inlineStr"/>
    </row>
    <row r="629">
      <c r="A629" t="inlineStr">
        <is>
          <t>PHS-0246</t>
        </is>
      </c>
      <c r="B629" t="inlineStr">
        <is>
          <t>https://wdwnt.com/2023/02/photo-report-magic-kingdom-disney-springs-2-7-23-new-limited-edition-pins-coach-walt-disney-world-50th-anniversary-lunchbox-bag-tinkerbell-light-up-loungefly-backpack-more/</t>
        </is>
      </c>
      <c r="C629" t="inlineStr">
        <is>
          <t>wdwnt.com</t>
        </is>
      </c>
      <c r="D629" t="inlineStr">
        <is>
          <t>secondary</t>
        </is>
      </c>
      <c r="E629" t="inlineStr">
        <is>
          <t>search snippet / page</t>
        </is>
      </c>
      <c r="F629" t="inlineStr"/>
      <c r="G629" t="inlineStr"/>
      <c r="H629" t="inlineStr"/>
    </row>
    <row r="630">
      <c r="A630" t="inlineStr">
        <is>
          <t>PHS-0247</t>
        </is>
      </c>
      <c r="B630" t="inlineStr">
        <is>
          <t>https://disneypinsblog.com/tron-lightcycle-run-grand-opening-disney-pins-at-magic-kingdom/</t>
        </is>
      </c>
      <c r="C630" t="inlineStr">
        <is>
          <t>disneypinsblog.com</t>
        </is>
      </c>
      <c r="D630" t="inlineStr">
        <is>
          <t>secondary</t>
        </is>
      </c>
      <c r="E630" t="inlineStr">
        <is>
          <t>search snippet / page</t>
        </is>
      </c>
      <c r="F630" t="inlineStr"/>
      <c r="G630" t="inlineStr"/>
      <c r="H630" t="inlineStr"/>
    </row>
    <row r="631">
      <c r="A631" t="inlineStr">
        <is>
          <t>PHS-0247</t>
        </is>
      </c>
      <c r="B631" t="inlineStr">
        <is>
          <t>https://wdwnt.com/2023/04/full-list-with-prices-of-tron-lightcycle-run-opening-day-merchandise-at-walt-disney-world/</t>
        </is>
      </c>
      <c r="C631" t="inlineStr">
        <is>
          <t>wdwnt.com</t>
        </is>
      </c>
      <c r="D631" t="inlineStr">
        <is>
          <t>secondary</t>
        </is>
      </c>
      <c r="E631" t="inlineStr">
        <is>
          <t>search snippet / page</t>
        </is>
      </c>
      <c r="F631" t="inlineStr"/>
      <c r="G631" t="inlineStr"/>
      <c r="H631" t="inlineStr"/>
    </row>
    <row r="632">
      <c r="A632" t="inlineStr">
        <is>
          <t>PHS-0248</t>
        </is>
      </c>
      <c r="B632" t="inlineStr">
        <is>
          <t>https://allears.net/2023/07/27/why-epcot-is-dangerous-for-encanto-fans-right-now/</t>
        </is>
      </c>
      <c r="C632" t="inlineStr">
        <is>
          <t>allears.net</t>
        </is>
      </c>
      <c r="D632" t="inlineStr">
        <is>
          <t>secondary</t>
        </is>
      </c>
      <c r="E632" t="inlineStr">
        <is>
          <t>search snippet / page</t>
        </is>
      </c>
      <c r="F632" t="inlineStr"/>
      <c r="G632" t="inlineStr"/>
      <c r="H632" t="inlineStr"/>
    </row>
    <row r="633">
      <c r="A633" t="inlineStr">
        <is>
          <t>PHS-0248</t>
        </is>
      </c>
      <c r="B633" t="inlineStr">
        <is>
          <t>https://disneypinsblog.com/epcot-international-food-wine-festival-2023-disney-pins/</t>
        </is>
      </c>
      <c r="C633" t="inlineStr">
        <is>
          <t>disneypinsblog.com</t>
        </is>
      </c>
      <c r="D633" t="inlineStr">
        <is>
          <t>secondary</t>
        </is>
      </c>
      <c r="E633" t="inlineStr">
        <is>
          <t>search snippet / page</t>
        </is>
      </c>
      <c r="F633" t="inlineStr"/>
      <c r="G633" t="inlineStr"/>
      <c r="H633" t="inlineStr"/>
    </row>
    <row r="634">
      <c r="A634" t="inlineStr">
        <is>
          <t>PHS-0248</t>
        </is>
      </c>
      <c r="B634" t="inlineStr">
        <is>
          <t>https://disneypinventory.com/view_item.php?itemID=31005</t>
        </is>
      </c>
      <c r="C634" t="inlineStr">
        <is>
          <t>disneypinventory.com</t>
        </is>
      </c>
      <c r="D634" t="inlineStr">
        <is>
          <t>secondary</t>
        </is>
      </c>
      <c r="E634" t="inlineStr">
        <is>
          <t>search snippet / page</t>
        </is>
      </c>
      <c r="F634" t="inlineStr"/>
      <c r="G634" t="inlineStr"/>
      <c r="H634" t="inlineStr"/>
    </row>
    <row r="635">
      <c r="A635" t="inlineStr">
        <is>
          <t>PHS-0248</t>
        </is>
      </c>
      <c r="B635" t="inlineStr">
        <is>
          <t>https://wdwnt.com/2023/07/full-list-of-encanto-and-more-2023-epcot-international-food-wine-festival-pins/</t>
        </is>
      </c>
      <c r="C635" t="inlineStr">
        <is>
          <t>wdwnt.com</t>
        </is>
      </c>
      <c r="D635" t="inlineStr">
        <is>
          <t>secondary</t>
        </is>
      </c>
      <c r="E635" t="inlineStr">
        <is>
          <t>search snippet / page</t>
        </is>
      </c>
      <c r="F635" t="inlineStr"/>
      <c r="G635" t="inlineStr"/>
      <c r="H635" t="inlineStr"/>
    </row>
    <row r="636">
      <c r="A636" t="inlineStr">
        <is>
          <t>PHS-0249</t>
        </is>
      </c>
      <c r="B636" t="inlineStr">
        <is>
          <t>https://disneypinsblog.com/mickeys-not-so-scary-halloween-party-2023-disney-pins/</t>
        </is>
      </c>
      <c r="C636" t="inlineStr">
        <is>
          <t>disneypinsblog.com</t>
        </is>
      </c>
      <c r="D636" t="inlineStr">
        <is>
          <t>secondary</t>
        </is>
      </c>
      <c r="E636" t="inlineStr">
        <is>
          <t>search snippet / page</t>
        </is>
      </c>
      <c r="F636" t="inlineStr"/>
      <c r="G636" t="inlineStr"/>
      <c r="H636" t="inlineStr"/>
    </row>
    <row r="637">
      <c r="A637" t="inlineStr">
        <is>
          <t>PHS-0249</t>
        </is>
      </c>
      <c r="B637" t="inlineStr">
        <is>
          <t>https://disneypinventory.com/view_item.php?itemID=30444</t>
        </is>
      </c>
      <c r="C637" t="inlineStr">
        <is>
          <t>disneypinventory.com</t>
        </is>
      </c>
      <c r="D637" t="inlineStr">
        <is>
          <t>secondary</t>
        </is>
      </c>
      <c r="E637" t="inlineStr">
        <is>
          <t>search snippet / page</t>
        </is>
      </c>
      <c r="F637" t="inlineStr"/>
      <c r="G637" t="inlineStr"/>
      <c r="H637" t="inlineStr"/>
    </row>
    <row r="638">
      <c r="A638" t="inlineStr">
        <is>
          <t>PHS-0249</t>
        </is>
      </c>
      <c r="B638" t="inlineStr">
        <is>
          <t>https://www.disboards.com/threads/official-2023-mickeys-not-so-scary-halloween-party-lets-get-spooky.3914237/</t>
        </is>
      </c>
      <c r="C638" t="inlineStr">
        <is>
          <t>disboards.com</t>
        </is>
      </c>
      <c r="D638" t="inlineStr">
        <is>
          <t>secondary</t>
        </is>
      </c>
      <c r="E638" t="inlineStr">
        <is>
          <t>search snippet / page</t>
        </is>
      </c>
      <c r="F638" t="inlineStr"/>
      <c r="G638" t="inlineStr"/>
      <c r="H638" t="inlineStr"/>
    </row>
    <row r="639">
      <c r="A639" t="inlineStr">
        <is>
          <t>PHS-0250</t>
        </is>
      </c>
      <c r="B639" t="inlineStr">
        <is>
          <t>https://disneypinsblog.com/disney-100-grand-finale-pin-releases-at-disney-parks/</t>
        </is>
      </c>
      <c r="C639" t="inlineStr">
        <is>
          <t>disneypinsblog.com</t>
        </is>
      </c>
      <c r="D639" t="inlineStr">
        <is>
          <t>secondary</t>
        </is>
      </c>
      <c r="E639" t="inlineStr">
        <is>
          <t>search snippet / page</t>
        </is>
      </c>
      <c r="F639" t="inlineStr"/>
      <c r="G639" t="inlineStr"/>
      <c r="H639" t="inlineStr"/>
    </row>
    <row r="640">
      <c r="A640" t="inlineStr">
        <is>
          <t>PHS-0250</t>
        </is>
      </c>
      <c r="B640" t="inlineStr">
        <is>
          <t>https://wdwnt.com/2023/10/new-limited-edition-disney100-pins-epcot/</t>
        </is>
      </c>
      <c r="C640" t="inlineStr">
        <is>
          <t>wdwnt.com</t>
        </is>
      </c>
      <c r="D640" t="inlineStr">
        <is>
          <t>secondary</t>
        </is>
      </c>
      <c r="E640" t="inlineStr">
        <is>
          <t>search snippet / page</t>
        </is>
      </c>
      <c r="F640" t="inlineStr"/>
      <c r="G640" t="inlineStr"/>
      <c r="H640" t="inlineStr"/>
    </row>
    <row r="641">
      <c r="A641" t="inlineStr">
        <is>
          <t>PHS-0251</t>
        </is>
      </c>
      <c r="B641" t="inlineStr">
        <is>
          <t>https://disneypinsblog.com/mickeys-very-merry-christmas-party-2023-disney-pins/</t>
        </is>
      </c>
      <c r="C641" t="inlineStr">
        <is>
          <t>disneypinsblog.com</t>
        </is>
      </c>
      <c r="D641" t="inlineStr">
        <is>
          <t>secondary</t>
        </is>
      </c>
      <c r="E641" t="inlineStr">
        <is>
          <t>search snippet / page</t>
        </is>
      </c>
      <c r="F641" t="inlineStr"/>
      <c r="G641" t="inlineStr"/>
      <c r="H641" t="inlineStr"/>
    </row>
    <row r="642">
      <c r="A642" t="inlineStr">
        <is>
          <t>PHS-0251</t>
        </is>
      </c>
      <c r="B642" t="inlineStr">
        <is>
          <t>https://wdwnt.com/2023/08/christmas-festival-of-the-holidays-2023-pins/</t>
        </is>
      </c>
      <c r="C642" t="inlineStr">
        <is>
          <t>wdwnt.com</t>
        </is>
      </c>
      <c r="D642" t="inlineStr">
        <is>
          <t>secondary</t>
        </is>
      </c>
      <c r="E642" t="inlineStr">
        <is>
          <t>search snippet / page</t>
        </is>
      </c>
      <c r="F642" t="inlineStr"/>
      <c r="G642" t="inlineStr"/>
      <c r="H642" t="inlineStr"/>
    </row>
    <row r="643">
      <c r="A643" t="inlineStr">
        <is>
          <t>PHS-0252</t>
        </is>
      </c>
      <c r="B643" t="inlineStr">
        <is>
          <t>https://disneypinsblog.com/new-disney-pins-december-2023-week-4/</t>
        </is>
      </c>
      <c r="C643" t="inlineStr">
        <is>
          <t>disneypinsblog.com</t>
        </is>
      </c>
      <c r="D643" t="inlineStr">
        <is>
          <t>secondary</t>
        </is>
      </c>
      <c r="E643" t="inlineStr">
        <is>
          <t>search snippet / page</t>
        </is>
      </c>
      <c r="F643" t="inlineStr"/>
      <c r="G643" t="inlineStr"/>
      <c r="H643" t="inlineStr"/>
    </row>
    <row r="644">
      <c r="A644" t="inlineStr">
        <is>
          <t>PHS-0252</t>
        </is>
      </c>
      <c r="B644" t="inlineStr">
        <is>
          <t>https://disneypinventory.com/view_item.php?itemID=33012</t>
        </is>
      </c>
      <c r="C644" t="inlineStr">
        <is>
          <t>disneypinventory.com</t>
        </is>
      </c>
      <c r="D644" t="inlineStr">
        <is>
          <t>secondary</t>
        </is>
      </c>
      <c r="E644" t="inlineStr">
        <is>
          <t>search snippet / page</t>
        </is>
      </c>
      <c r="F644" t="inlineStr"/>
      <c r="G644" t="inlineStr"/>
      <c r="H644" t="inlineStr"/>
    </row>
    <row r="645">
      <c r="A645" t="inlineStr">
        <is>
          <t>PHS-0252</t>
        </is>
      </c>
      <c r="B645" t="inlineStr">
        <is>
          <t>https://wdwnt.com/2023/12/new-ap-le-peoplemover-pin-wdw/</t>
        </is>
      </c>
      <c r="C645" t="inlineStr">
        <is>
          <t>wdwnt.com</t>
        </is>
      </c>
      <c r="D645" t="inlineStr">
        <is>
          <t>secondary</t>
        </is>
      </c>
      <c r="E645" t="inlineStr">
        <is>
          <t>search snippet / page</t>
        </is>
      </c>
      <c r="F645" t="inlineStr"/>
      <c r="G645" t="inlineStr"/>
      <c r="H645" t="inlineStr"/>
    </row>
    <row r="646">
      <c r="A646" t="inlineStr">
        <is>
          <t>PHS-0253</t>
        </is>
      </c>
      <c r="B646" t="inlineStr">
        <is>
          <t>https://allears.net/2024/01/12/all-the-souvenirs-you-can-buy-at-the-2024-epcot-festival-of-the-arts/</t>
        </is>
      </c>
      <c r="C646" t="inlineStr">
        <is>
          <t>allears.net</t>
        </is>
      </c>
      <c r="D646" t="inlineStr">
        <is>
          <t>secondary</t>
        </is>
      </c>
      <c r="E646" t="inlineStr">
        <is>
          <t>search snippet / page</t>
        </is>
      </c>
      <c r="F646" t="inlineStr"/>
      <c r="G646" t="inlineStr"/>
      <c r="H646" t="inlineStr"/>
    </row>
    <row r="647">
      <c r="A647" t="inlineStr">
        <is>
          <t>PHS-0253</t>
        </is>
      </c>
      <c r="B647" t="inlineStr">
        <is>
          <t>https://disneypinsblog.com/blogs/news/epcot-international-festival-of-the-arts-2024-disney-pins</t>
        </is>
      </c>
      <c r="C647" t="inlineStr">
        <is>
          <t>disneypinsblog.com</t>
        </is>
      </c>
      <c r="D647" t="inlineStr">
        <is>
          <t>secondary</t>
        </is>
      </c>
      <c r="E647" t="inlineStr">
        <is>
          <t>search snippet / page</t>
        </is>
      </c>
      <c r="F647" t="inlineStr"/>
      <c r="G647" t="inlineStr"/>
      <c r="H647" t="inlineStr"/>
    </row>
    <row r="648">
      <c r="A648" t="inlineStr">
        <is>
          <t>PHS-0253</t>
        </is>
      </c>
      <c r="B648" t="inlineStr">
        <is>
          <t>https://disneypinsblog.com/epcot-international-festival-of-the-arts-2024-disney-pins/</t>
        </is>
      </c>
      <c r="C648" t="inlineStr">
        <is>
          <t>disneypinsblog.com</t>
        </is>
      </c>
      <c r="D648" t="inlineStr">
        <is>
          <t>secondary</t>
        </is>
      </c>
      <c r="E648" t="inlineStr">
        <is>
          <t>search snippet / page</t>
        </is>
      </c>
      <c r="F648" t="inlineStr"/>
      <c r="G648" t="inlineStr"/>
      <c r="H648" t="inlineStr"/>
    </row>
    <row r="649">
      <c r="A649" t="inlineStr">
        <is>
          <t>PHS-0253</t>
        </is>
      </c>
      <c r="B649" t="inlineStr">
        <is>
          <t>https://disneypinventory.com/view_item.php?itemID=33394</t>
        </is>
      </c>
      <c r="C649" t="inlineStr">
        <is>
          <t>disneypinventory.com</t>
        </is>
      </c>
      <c r="D649" t="inlineStr">
        <is>
          <t>secondary</t>
        </is>
      </c>
      <c r="E649" t="inlineStr">
        <is>
          <t>search snippet / page</t>
        </is>
      </c>
      <c r="F649" t="inlineStr"/>
      <c r="G649" t="inlineStr"/>
      <c r="H649" t="inlineStr"/>
    </row>
    <row r="650">
      <c r="A650" t="inlineStr">
        <is>
          <t>PHS-0253</t>
        </is>
      </c>
      <c r="B650" t="inlineStr">
        <is>
          <t>https://wdwnt.com/2024/01/merchandise-2024-epcot-festival-of-the-arts/</t>
        </is>
      </c>
      <c r="C650" t="inlineStr">
        <is>
          <t>wdwnt.com</t>
        </is>
      </c>
      <c r="D650" t="inlineStr">
        <is>
          <t>secondary</t>
        </is>
      </c>
      <c r="E650" t="inlineStr">
        <is>
          <t>search snippet / page</t>
        </is>
      </c>
      <c r="F650" t="inlineStr"/>
      <c r="G650" t="inlineStr"/>
      <c r="H650" t="inlineStr"/>
    </row>
    <row r="651">
      <c r="A651" t="inlineStr">
        <is>
          <t>PHS-0253</t>
        </is>
      </c>
      <c r="B651" t="inlineStr">
        <is>
          <t>https://www.disneyfoodblog.com/2024/01/12/full-list-all-the-new-merchandise-at-the-2024-epcot-festival-of-the-arts/</t>
        </is>
      </c>
      <c r="C651" t="inlineStr">
        <is>
          <t>disneyfoodblog.com</t>
        </is>
      </c>
      <c r="D651" t="inlineStr">
        <is>
          <t>secondary</t>
        </is>
      </c>
      <c r="E651" t="inlineStr">
        <is>
          <t>search snippet / page</t>
        </is>
      </c>
      <c r="F651" t="inlineStr"/>
      <c r="G651" t="inlineStr"/>
      <c r="H651" t="inlineStr"/>
    </row>
    <row r="652">
      <c r="A652" t="inlineStr">
        <is>
          <t>PHS-0254</t>
        </is>
      </c>
      <c r="B652" t="inlineStr">
        <is>
          <t>https://disneyfashionista.com/epcot-flower-garden-festival-pins-for-2024/</t>
        </is>
      </c>
      <c r="C652" t="inlineStr">
        <is>
          <t>disneyfashionista.com</t>
        </is>
      </c>
      <c r="D652" t="inlineStr">
        <is>
          <t>secondary</t>
        </is>
      </c>
      <c r="E652" t="inlineStr">
        <is>
          <t>search snippet / page</t>
        </is>
      </c>
      <c r="F652" t="inlineStr"/>
      <c r="G652" t="inlineStr"/>
      <c r="H652" t="inlineStr"/>
    </row>
    <row r="653">
      <c r="A653" t="inlineStr">
        <is>
          <t>PHS-0254</t>
        </is>
      </c>
      <c r="B653" t="inlineStr">
        <is>
          <t>https://disneypinsblog.com/epcot-international-flower-garden-festival-2024-disney-pins/</t>
        </is>
      </c>
      <c r="C653" t="inlineStr">
        <is>
          <t>disneypinsblog.com</t>
        </is>
      </c>
      <c r="D653" t="inlineStr">
        <is>
          <t>secondary</t>
        </is>
      </c>
      <c r="E653" t="inlineStr">
        <is>
          <t>search snippet / page</t>
        </is>
      </c>
      <c r="F653" t="inlineStr"/>
      <c r="G653" t="inlineStr"/>
      <c r="H653" t="inlineStr"/>
    </row>
    <row r="654">
      <c r="A654" t="inlineStr">
        <is>
          <t>PHS-0254</t>
        </is>
      </c>
      <c r="B654" t="inlineStr">
        <is>
          <t>https://wdwnt.com/2024/02/ap-spike-the-bee-merchandise-2024-epcot-festival/</t>
        </is>
      </c>
      <c r="C654" t="inlineStr">
        <is>
          <t>wdwnt.com</t>
        </is>
      </c>
      <c r="D654" t="inlineStr">
        <is>
          <t>secondary</t>
        </is>
      </c>
      <c r="E654" t="inlineStr">
        <is>
          <t>search snippet / page</t>
        </is>
      </c>
      <c r="F654" t="inlineStr"/>
      <c r="G654" t="inlineStr"/>
      <c r="H654" t="inlineStr"/>
    </row>
    <row r="655">
      <c r="A655" t="inlineStr">
        <is>
          <t>PHS-0255</t>
        </is>
      </c>
      <c r="B655" t="inlineStr">
        <is>
          <t>https://disneypinventory.com/view_item.php?itemID=38108</t>
        </is>
      </c>
      <c r="C655" t="inlineStr">
        <is>
          <t>disneypinventory.com</t>
        </is>
      </c>
      <c r="D655" t="inlineStr">
        <is>
          <t>secondary</t>
        </is>
      </c>
      <c r="E655" t="inlineStr">
        <is>
          <t>search snippet / page</t>
        </is>
      </c>
      <c r="F655" t="inlineStr"/>
      <c r="G655" t="inlineStr"/>
      <c r="H655" t="inlineStr"/>
    </row>
    <row r="656">
      <c r="A656" t="inlineStr">
        <is>
          <t>PHS-0255</t>
        </is>
      </c>
      <c r="B656" t="inlineStr">
        <is>
          <t>https://disneypinventory.com/view_item.php?itemID=38109</t>
        </is>
      </c>
      <c r="C656" t="inlineStr">
        <is>
          <t>disneypinventory.com</t>
        </is>
      </c>
      <c r="D656" t="inlineStr">
        <is>
          <t>secondary</t>
        </is>
      </c>
      <c r="E656" t="inlineStr">
        <is>
          <t>search snippet / page</t>
        </is>
      </c>
      <c r="F656" t="inlineStr"/>
      <c r="G656" t="inlineStr"/>
      <c r="H656" t="inlineStr"/>
    </row>
    <row r="657">
      <c r="A657" t="inlineStr">
        <is>
          <t>PHS-0255</t>
        </is>
      </c>
      <c r="B657" t="inlineStr">
        <is>
          <t>https://disneypinventory.com/view_item.php?itemID=38110</t>
        </is>
      </c>
      <c r="C657" t="inlineStr">
        <is>
          <t>disneypinventory.com</t>
        </is>
      </c>
      <c r="D657" t="inlineStr">
        <is>
          <t>secondary</t>
        </is>
      </c>
      <c r="E657" t="inlineStr">
        <is>
          <t>search snippet / page</t>
        </is>
      </c>
      <c r="F657" t="inlineStr"/>
      <c r="G657" t="inlineStr"/>
      <c r="H657" t="inlineStr"/>
    </row>
    <row r="658">
      <c r="A658" t="inlineStr">
        <is>
          <t>PHS-0255</t>
        </is>
      </c>
      <c r="B658" t="inlineStr">
        <is>
          <t>https://disneypinventory.com/view_item.php?itemID=38112</t>
        </is>
      </c>
      <c r="C658" t="inlineStr">
        <is>
          <t>disneypinventory.com</t>
        </is>
      </c>
      <c r="D658" t="inlineStr">
        <is>
          <t>secondary</t>
        </is>
      </c>
      <c r="E658" t="inlineStr">
        <is>
          <t>search snippet / page</t>
        </is>
      </c>
      <c r="F658" t="inlineStr"/>
      <c r="G658" t="inlineStr"/>
      <c r="H658" t="inlineStr"/>
    </row>
    <row r="659">
      <c r="A659" t="inlineStr">
        <is>
          <t>PHS-0255</t>
        </is>
      </c>
      <c r="B659" t="inlineStr">
        <is>
          <t>https://mypincentral.com/pin/207176</t>
        </is>
      </c>
      <c r="C659" t="inlineStr">
        <is>
          <t>mypincentral.com</t>
        </is>
      </c>
      <c r="D659" t="inlineStr">
        <is>
          <t>secondary</t>
        </is>
      </c>
      <c r="E659" t="inlineStr">
        <is>
          <t>search snippet / page</t>
        </is>
      </c>
      <c r="F659" t="inlineStr"/>
      <c r="G659" t="inlineStr"/>
      <c r="H659" t="inlineStr"/>
    </row>
    <row r="660">
      <c r="A660" t="inlineStr">
        <is>
          <t>PHS-0255</t>
        </is>
      </c>
      <c r="B660" t="inlineStr">
        <is>
          <t>https://wdwnt.com/2024/08/2024-mickeys-not-so-scary-halloween-party-merch/</t>
        </is>
      </c>
      <c r="C660" t="inlineStr">
        <is>
          <t>wdwnt.com</t>
        </is>
      </c>
      <c r="D660" t="inlineStr">
        <is>
          <t>secondary</t>
        </is>
      </c>
      <c r="E660" t="inlineStr">
        <is>
          <t>search snippet / page</t>
        </is>
      </c>
      <c r="F660" t="inlineStr"/>
      <c r="G660" t="inlineStr"/>
      <c r="H660" t="inlineStr"/>
    </row>
    <row r="661">
      <c r="A661" t="inlineStr">
        <is>
          <t>PHS-0256</t>
        </is>
      </c>
      <c r="B661" t="inlineStr">
        <is>
          <t>https://disneypinventory.com/view_item.php?itemID=38108</t>
        </is>
      </c>
      <c r="C661" t="inlineStr">
        <is>
          <t>disneypinventory.com</t>
        </is>
      </c>
      <c r="D661" t="inlineStr">
        <is>
          <t>secondary</t>
        </is>
      </c>
      <c r="E661" t="inlineStr">
        <is>
          <t>search snippet / page</t>
        </is>
      </c>
      <c r="F661" t="inlineStr"/>
      <c r="G661" t="inlineStr"/>
      <c r="H661" t="inlineStr"/>
    </row>
    <row r="662">
      <c r="A662" t="inlineStr">
        <is>
          <t>PHS-0257</t>
        </is>
      </c>
      <c r="B662" t="inlineStr">
        <is>
          <t>https://disneypinsblog.com/epcot-international-food-wine-festival-2024-disney-pins/</t>
        </is>
      </c>
      <c r="C662" t="inlineStr">
        <is>
          <t>disneypinsblog.com</t>
        </is>
      </c>
      <c r="D662" t="inlineStr">
        <is>
          <t>secondary</t>
        </is>
      </c>
      <c r="E662" t="inlineStr">
        <is>
          <t>search snippet / page</t>
        </is>
      </c>
      <c r="F662" t="inlineStr"/>
      <c r="G662" t="inlineStr"/>
      <c r="H662" t="inlineStr"/>
    </row>
    <row r="663">
      <c r="A663" t="inlineStr">
        <is>
          <t>PHS-0257</t>
        </is>
      </c>
      <c r="B663" t="inlineStr">
        <is>
          <t>https://mickeyblog.com/2024/08/29/all-of-epcots-new-2024-food-wine-festival-merchandise/</t>
        </is>
      </c>
      <c r="C663" t="inlineStr">
        <is>
          <t>mickeyblog.com</t>
        </is>
      </c>
      <c r="D663" t="inlineStr">
        <is>
          <t>secondary</t>
        </is>
      </c>
      <c r="E663" t="inlineStr">
        <is>
          <t>search snippet / page</t>
        </is>
      </c>
      <c r="F663" t="inlineStr"/>
      <c r="G663" t="inlineStr"/>
      <c r="H663" t="inlineStr"/>
    </row>
    <row r="664">
      <c r="A664" t="inlineStr">
        <is>
          <t>PHS-0257</t>
        </is>
      </c>
      <c r="B664" t="inlineStr">
        <is>
          <t>https://wdwnt.com/2024/08/list-of-2024-epcot-food-wine-festival-merch/</t>
        </is>
      </c>
      <c r="C664" t="inlineStr">
        <is>
          <t>wdwnt.com</t>
        </is>
      </c>
      <c r="D664" t="inlineStr">
        <is>
          <t>secondary</t>
        </is>
      </c>
      <c r="E664" t="inlineStr">
        <is>
          <t>search snippet / page</t>
        </is>
      </c>
      <c r="F664" t="inlineStr"/>
      <c r="G664" t="inlineStr"/>
      <c r="H664" t="inlineStr"/>
    </row>
    <row r="665">
      <c r="A665" t="inlineStr">
        <is>
          <t>PHS-0257</t>
        </is>
      </c>
      <c r="B665" t="inlineStr">
        <is>
          <t>https://www.disneyfoodblog.com/2024/08/29/full-list-with-prices-all-the-new-souvenirs-at-the-2024-epcot-food-wine-festival/</t>
        </is>
      </c>
      <c r="C665" t="inlineStr">
        <is>
          <t>disneyfoodblog.com</t>
        </is>
      </c>
      <c r="D665" t="inlineStr">
        <is>
          <t>secondary</t>
        </is>
      </c>
      <c r="E665" t="inlineStr">
        <is>
          <t>search snippet / page</t>
        </is>
      </c>
      <c r="F665" t="inlineStr"/>
      <c r="G665" t="inlineStr"/>
      <c r="H665" t="inlineStr"/>
    </row>
    <row r="666">
      <c r="A666" t="inlineStr">
        <is>
          <t>PHS-0258</t>
        </is>
      </c>
      <c r="B666" t="inlineStr">
        <is>
          <t>https://wdwnt.com/2024/11/epcot-holiday-around-the-world-pins-storytellers/</t>
        </is>
      </c>
      <c r="C666" t="inlineStr">
        <is>
          <t>wdwnt.com</t>
        </is>
      </c>
      <c r="D666" t="inlineStr">
        <is>
          <t>secondary</t>
        </is>
      </c>
      <c r="E666" t="inlineStr">
        <is>
          <t>search snippet / page</t>
        </is>
      </c>
      <c r="F666" t="inlineStr"/>
      <c r="G666" t="inlineStr"/>
      <c r="H666" t="inlineStr"/>
    </row>
    <row r="667">
      <c r="A667" t="inlineStr">
        <is>
          <t>PHS-0259</t>
        </is>
      </c>
      <c r="B667" t="inlineStr">
        <is>
          <t>https://chipandco.com/epcot-festival-of-the-holidays-pin-collection-a-collectors-dream-585366/</t>
        </is>
      </c>
      <c r="C667" t="inlineStr">
        <is>
          <t>chipandco.com</t>
        </is>
      </c>
      <c r="D667" t="inlineStr">
        <is>
          <t>secondary</t>
        </is>
      </c>
      <c r="E667" t="inlineStr">
        <is>
          <t>search snippet / page</t>
        </is>
      </c>
      <c r="F667" t="inlineStr"/>
      <c r="G667" t="inlineStr"/>
      <c r="H667" t="inlineStr"/>
    </row>
    <row r="668">
      <c r="A668" t="inlineStr">
        <is>
          <t>PHS-0259</t>
        </is>
      </c>
      <c r="B668" t="inlineStr">
        <is>
          <t>https://disneypinsblog.com/epcot-international-festival-of-the-holidays-2024-disney-pins/</t>
        </is>
      </c>
      <c r="C668" t="inlineStr">
        <is>
          <t>disneypinsblog.com</t>
        </is>
      </c>
      <c r="D668" t="inlineStr">
        <is>
          <t>secondary</t>
        </is>
      </c>
      <c r="E668" t="inlineStr">
        <is>
          <t>search snippet / page</t>
        </is>
      </c>
      <c r="F668" t="inlineStr"/>
      <c r="G668" t="inlineStr"/>
      <c r="H668" t="inlineStr"/>
    </row>
    <row r="669">
      <c r="A669" t="inlineStr">
        <is>
          <t>PHS-0259</t>
        </is>
      </c>
      <c r="B669" t="inlineStr">
        <is>
          <t>https://mickeyblog.com/2024/11/29/photos-all-the-new-merchandise-for-the-2024-epcot-festival-of-the-holidays/</t>
        </is>
      </c>
      <c r="C669" t="inlineStr">
        <is>
          <t>mickeyblog.com</t>
        </is>
      </c>
      <c r="D669" t="inlineStr">
        <is>
          <t>secondary</t>
        </is>
      </c>
      <c r="E669" t="inlineStr">
        <is>
          <t>search snippet / page</t>
        </is>
      </c>
      <c r="F669" t="inlineStr"/>
      <c r="G669" t="inlineStr"/>
      <c r="H669" t="inlineStr"/>
    </row>
    <row r="670">
      <c r="A670" t="inlineStr">
        <is>
          <t>PHS-0259</t>
        </is>
      </c>
      <c r="B670" t="inlineStr">
        <is>
          <t>https://wdwnt.com/2024/11/2024-epcot-festival-of-the-holidays-merchandise/</t>
        </is>
      </c>
      <c r="C670" t="inlineStr">
        <is>
          <t>wdwnt.com</t>
        </is>
      </c>
      <c r="D670" t="inlineStr">
        <is>
          <t>secondary</t>
        </is>
      </c>
      <c r="E670" t="inlineStr">
        <is>
          <t>search snippet / page</t>
        </is>
      </c>
      <c r="F670" t="inlineStr"/>
      <c r="G670" t="inlineStr"/>
      <c r="H670" t="inlineStr"/>
    </row>
    <row r="671">
      <c r="A671" t="inlineStr">
        <is>
          <t>PHS-0260</t>
        </is>
      </c>
      <c r="B671" t="inlineStr">
        <is>
          <t>https://disneypinsblog.com/blogs/news/epcot-festival-of-the-holidays-2024-walt-disney-world-club-33-pin</t>
        </is>
      </c>
      <c r="C671" t="inlineStr">
        <is>
          <t>disneypinsblog.com</t>
        </is>
      </c>
      <c r="D671" t="inlineStr">
        <is>
          <t>secondary</t>
        </is>
      </c>
      <c r="E671" t="inlineStr">
        <is>
          <t>search snippet / page</t>
        </is>
      </c>
      <c r="F671" t="inlineStr"/>
      <c r="G671" t="inlineStr"/>
      <c r="H671" t="inlineStr"/>
    </row>
    <row r="672">
      <c r="A672" t="inlineStr">
        <is>
          <t>PHS-0260</t>
        </is>
      </c>
      <c r="B672" t="inlineStr">
        <is>
          <t>https://disneypinsblog.com/epcot-festival-of-the-holidays-2024-walt-disney-world-club-33-pin/</t>
        </is>
      </c>
      <c r="C672" t="inlineStr">
        <is>
          <t>disneypinsblog.com</t>
        </is>
      </c>
      <c r="D672" t="inlineStr">
        <is>
          <t>secondary</t>
        </is>
      </c>
      <c r="E672" t="inlineStr">
        <is>
          <t>search snippet / page</t>
        </is>
      </c>
      <c r="F672" t="inlineStr"/>
      <c r="G672" t="inlineStr"/>
      <c r="H672" t="inlineStr"/>
    </row>
    <row r="673">
      <c r="A673" t="inlineStr">
        <is>
          <t>PHS-0261</t>
        </is>
      </c>
      <c r="B673" t="inlineStr">
        <is>
          <t>https://disneypinsblog.com/complete-charming-carousels-disney-pin-collection/</t>
        </is>
      </c>
      <c r="C673" t="inlineStr">
        <is>
          <t>disneypinsblog.com</t>
        </is>
      </c>
      <c r="D673" t="inlineStr">
        <is>
          <t>secondary</t>
        </is>
      </c>
      <c r="E673" t="inlineStr">
        <is>
          <t>search snippet / page</t>
        </is>
      </c>
      <c r="F673" t="inlineStr"/>
      <c r="G673" t="inlineStr"/>
      <c r="H673" t="inlineStr"/>
    </row>
    <row r="674">
      <c r="A674" t="inlineStr">
        <is>
          <t>PHS-0261</t>
        </is>
      </c>
      <c r="B674" t="inlineStr">
        <is>
          <t>https://mypincentral.com/blog_post/pin-releases-dlr-disneyland-resort-disneyland-resort-flyer-for-september-2025</t>
        </is>
      </c>
      <c r="C674" t="inlineStr">
        <is>
          <t>mypincentral.com</t>
        </is>
      </c>
      <c r="D674" t="inlineStr">
        <is>
          <t>secondary</t>
        </is>
      </c>
      <c r="E674" t="inlineStr">
        <is>
          <t>search snippet / page</t>
        </is>
      </c>
      <c r="F674" t="inlineStr"/>
      <c r="G674" t="inlineStr"/>
      <c r="H674" t="inlineStr"/>
    </row>
    <row r="675">
      <c r="A675" t="inlineStr">
        <is>
          <t>PHS-0261</t>
        </is>
      </c>
      <c r="B675" t="inlineStr">
        <is>
          <t>https://wdwnt.com/2025/06/new-limited-edition-snow-white-old-hag-and-mad-tea-party-carousel-horse-pins-at-walt-disney-world/</t>
        </is>
      </c>
      <c r="C675" t="inlineStr">
        <is>
          <t>wdwnt.com</t>
        </is>
      </c>
      <c r="D675" t="inlineStr">
        <is>
          <t>secondary</t>
        </is>
      </c>
      <c r="E675" t="inlineStr">
        <is>
          <t>search snippet / page</t>
        </is>
      </c>
      <c r="F675" t="inlineStr"/>
      <c r="G675" t="inlineStr"/>
      <c r="H675" t="inlineStr"/>
    </row>
    <row r="676">
      <c r="A676" t="inlineStr">
        <is>
          <t>PHS-0261</t>
        </is>
      </c>
      <c r="B676" t="inlineStr">
        <is>
          <t>https://wdwnt.com/2025/10/disney-world-pin-tuesday-tiki-themed-carousel-chicken-little-more/</t>
        </is>
      </c>
      <c r="C676" t="inlineStr">
        <is>
          <t>wdwnt.com</t>
        </is>
      </c>
      <c r="D676" t="inlineStr">
        <is>
          <t>secondary</t>
        </is>
      </c>
      <c r="E676" t="inlineStr">
        <is>
          <t>search snippet / page</t>
        </is>
      </c>
      <c r="F676" t="inlineStr"/>
      <c r="G676" t="inlineStr"/>
      <c r="H676" t="inlineStr"/>
    </row>
    <row r="677">
      <c r="A677" t="inlineStr">
        <is>
          <t>PHS-0261</t>
        </is>
      </c>
      <c r="B677" t="inlineStr">
        <is>
          <t>https://www.disneypinforum.com/threads/2025-pin-discussion-pin-releases.78813/page-7</t>
        </is>
      </c>
      <c r="C677" t="inlineStr">
        <is>
          <t>disneypinforum.com</t>
        </is>
      </c>
      <c r="D677" t="inlineStr">
        <is>
          <t>secondary</t>
        </is>
      </c>
      <c r="E677" t="inlineStr">
        <is>
          <t>search snippet / page</t>
        </is>
      </c>
      <c r="F677" t="inlineStr"/>
      <c r="G677" t="inlineStr"/>
      <c r="H677" t="inlineStr"/>
    </row>
    <row r="678">
      <c r="A678" t="inlineStr">
        <is>
          <t>PHS-0262</t>
        </is>
      </c>
      <c r="B678" t="inlineStr">
        <is>
          <t>https://disneypinsblog.com/complete-dining-with-disney-pin-collection/</t>
        </is>
      </c>
      <c r="C678" t="inlineStr">
        <is>
          <t>disneypinsblog.com</t>
        </is>
      </c>
      <c r="D678" t="inlineStr">
        <is>
          <t>secondary</t>
        </is>
      </c>
      <c r="E678" t="inlineStr">
        <is>
          <t>search snippet / page</t>
        </is>
      </c>
      <c r="F678" t="inlineStr"/>
      <c r="G678" t="inlineStr"/>
      <c r="H678" t="inlineStr"/>
    </row>
    <row r="679">
      <c r="A679" t="inlineStr">
        <is>
          <t>PHS-0262</t>
        </is>
      </c>
      <c r="B679" t="inlineStr">
        <is>
          <t>https://wdwnt.com/2025/05/new-cheshire-cafe-dining-with-disney-pin-at-walt-disney-world/</t>
        </is>
      </c>
      <c r="C679" t="inlineStr">
        <is>
          <t>wdwnt.com</t>
        </is>
      </c>
      <c r="D679" t="inlineStr">
        <is>
          <t>secondary</t>
        </is>
      </c>
      <c r="E679" t="inlineStr">
        <is>
          <t>search snippet / page</t>
        </is>
      </c>
      <c r="F679" t="inlineStr"/>
      <c r="G679" t="inlineStr"/>
      <c r="H679" t="inlineStr"/>
    </row>
    <row r="680">
      <c r="A680" t="inlineStr">
        <is>
          <t>PHS-0262</t>
        </is>
      </c>
      <c r="B680" t="inlineStr">
        <is>
          <t>https://wdwnt.com/2025/06/new-stitch-626-day-caseys-corner-pins-at-walt-disney-world/</t>
        </is>
      </c>
      <c r="C680" t="inlineStr">
        <is>
          <t>wdwnt.com</t>
        </is>
      </c>
      <c r="D680" t="inlineStr">
        <is>
          <t>secondary</t>
        </is>
      </c>
      <c r="E680" t="inlineStr">
        <is>
          <t>search snippet / page</t>
        </is>
      </c>
      <c r="F680" t="inlineStr"/>
      <c r="G680" t="inlineStr"/>
      <c r="H680" t="inlineStr"/>
    </row>
    <row r="681">
      <c r="A681" t="inlineStr">
        <is>
          <t>PHS-0262</t>
        </is>
      </c>
      <c r="B681" t="inlineStr">
        <is>
          <t>https://wdwnt.com/2025/07/vader-rapunzel-regal-eagle-smokehouse-pins-disney-world/</t>
        </is>
      </c>
      <c r="C681" t="inlineStr">
        <is>
          <t>wdwnt.com</t>
        </is>
      </c>
      <c r="D681" t="inlineStr">
        <is>
          <t>secondary</t>
        </is>
      </c>
      <c r="E681" t="inlineStr">
        <is>
          <t>search snippet / page</t>
        </is>
      </c>
      <c r="F681" t="inlineStr"/>
      <c r="G681" t="inlineStr"/>
      <c r="H681" t="inlineStr"/>
    </row>
    <row r="682">
      <c r="A682" t="inlineStr">
        <is>
          <t>PHS-0262</t>
        </is>
      </c>
      <c r="B682" t="inlineStr">
        <is>
          <t>https://wdwnt.com/2025/09/pin-tuesday-tianas-sweet-treats-and-dining-series-now-available-at-disney-world/</t>
        </is>
      </c>
      <c r="C682" t="inlineStr">
        <is>
          <t>wdwnt.com</t>
        </is>
      </c>
      <c r="D682" t="inlineStr">
        <is>
          <t>secondary</t>
        </is>
      </c>
      <c r="E682" t="inlineStr">
        <is>
          <t>search snippet / page</t>
        </is>
      </c>
      <c r="F682" t="inlineStr"/>
      <c r="G682" t="inlineStr"/>
      <c r="H682" t="inlineStr"/>
    </row>
    <row r="683">
      <c r="A683" t="inlineStr">
        <is>
          <t>PHS-0262</t>
        </is>
      </c>
      <c r="B683" t="inlineStr">
        <is>
          <t>https://wdwnt.com/2025/10/disney-world-pin-tuesday/</t>
        </is>
      </c>
      <c r="C683" t="inlineStr">
        <is>
          <t>wdwnt.com</t>
        </is>
      </c>
      <c r="D683" t="inlineStr">
        <is>
          <t>secondary</t>
        </is>
      </c>
      <c r="E683" t="inlineStr">
        <is>
          <t>search snippet / page</t>
        </is>
      </c>
      <c r="F683" t="inlineStr"/>
      <c r="G683" t="inlineStr"/>
      <c r="H683" t="inlineStr"/>
    </row>
    <row r="684">
      <c r="A684" t="inlineStr">
        <is>
          <t>PHS-0263</t>
        </is>
      </c>
      <c r="B684" t="inlineStr">
        <is>
          <t>https://disneypinsblog.com/complete-inkwells-of-evil-disney-pin-collection/</t>
        </is>
      </c>
      <c r="C684" t="inlineStr">
        <is>
          <t>disneypinsblog.com</t>
        </is>
      </c>
      <c r="D684" t="inlineStr">
        <is>
          <t>secondary</t>
        </is>
      </c>
      <c r="E684" t="inlineStr">
        <is>
          <t>search snippet / page</t>
        </is>
      </c>
      <c r="F684" t="inlineStr"/>
      <c r="G684" t="inlineStr"/>
      <c r="H684" t="inlineStr"/>
    </row>
    <row r="685">
      <c r="A685" t="inlineStr">
        <is>
          <t>PHS-0263</t>
        </is>
      </c>
      <c r="B685" t="inlineStr">
        <is>
          <t>https://wdwnt.com/2025/02/first-look-at-limited-edition-anniversary-magic-key-and-more-disney-pins-coming-to-disneyland-and-disney-world-in-2025/</t>
        </is>
      </c>
      <c r="C685" t="inlineStr">
        <is>
          <t>wdwnt.com</t>
        </is>
      </c>
      <c r="D685" t="inlineStr">
        <is>
          <t>secondary</t>
        </is>
      </c>
      <c r="E685" t="inlineStr">
        <is>
          <t>search snippet / page</t>
        </is>
      </c>
      <c r="F685" t="inlineStr"/>
      <c r="G685" t="inlineStr"/>
      <c r="H685" t="inlineStr"/>
    </row>
    <row r="686">
      <c r="A686" t="inlineStr">
        <is>
          <t>PHS-0263</t>
        </is>
      </c>
      <c r="B686" t="inlineStr">
        <is>
          <t>https://wdwnt.com/2025/04/the-little-mermaid-pirates-of-the-caribbean-and-other-new-limited-edition-disney-trading-pins-at-walt-disney-world/</t>
        </is>
      </c>
      <c r="C686" t="inlineStr">
        <is>
          <t>wdwnt.com</t>
        </is>
      </c>
      <c r="D686" t="inlineStr">
        <is>
          <t>secondary</t>
        </is>
      </c>
      <c r="E686" t="inlineStr">
        <is>
          <t>search snippet / page</t>
        </is>
      </c>
      <c r="F686" t="inlineStr"/>
      <c r="G686" t="inlineStr"/>
      <c r="H686" t="inlineStr"/>
    </row>
    <row r="687">
      <c r="A687" t="inlineStr">
        <is>
          <t>PHS-0263</t>
        </is>
      </c>
      <c r="B687" t="inlineStr">
        <is>
          <t>https://wdwnt.com/2025/06/new-limited-edition-snow-white-old-hag-and-mad-tea-party-carousel-horse-pins-at-walt-disney-world/</t>
        </is>
      </c>
      <c r="C687" t="inlineStr">
        <is>
          <t>wdwnt.com</t>
        </is>
      </c>
      <c r="D687" t="inlineStr">
        <is>
          <t>secondary</t>
        </is>
      </c>
      <c r="E687" t="inlineStr">
        <is>
          <t>search snippet / page</t>
        </is>
      </c>
      <c r="F687" t="inlineStr"/>
      <c r="G687" t="inlineStr"/>
      <c r="H687" t="inlineStr"/>
    </row>
    <row r="688">
      <c r="A688" t="inlineStr">
        <is>
          <t>PHS-0263</t>
        </is>
      </c>
      <c r="B688" t="inlineStr">
        <is>
          <t>https://wdwnt.com/2025/07/new-cruella-de-vil-pocahontas-and-donald-pins-at-walt-disney-world/</t>
        </is>
      </c>
      <c r="C688" t="inlineStr">
        <is>
          <t>wdwnt.com</t>
        </is>
      </c>
      <c r="D688" t="inlineStr">
        <is>
          <t>secondary</t>
        </is>
      </c>
      <c r="E688" t="inlineStr">
        <is>
          <t>search snippet / page</t>
        </is>
      </c>
      <c r="F688" t="inlineStr"/>
      <c r="G688" t="inlineStr"/>
      <c r="H688" t="inlineStr"/>
    </row>
    <row r="689">
      <c r="A689" t="inlineStr">
        <is>
          <t>PHS-0263</t>
        </is>
      </c>
      <c r="B689" t="inlineStr">
        <is>
          <t>https://wdwnt.com/2025/10/disneyland-pin-tuesday-tomorrowland-stitch-pocket-parks-jafar-inkwells-evil-more/</t>
        </is>
      </c>
      <c r="C689" t="inlineStr">
        <is>
          <t>wdwnt.com</t>
        </is>
      </c>
      <c r="D689" t="inlineStr">
        <is>
          <t>secondary</t>
        </is>
      </c>
      <c r="E689" t="inlineStr">
        <is>
          <t>search snippet / page</t>
        </is>
      </c>
      <c r="F689" t="inlineStr"/>
      <c r="G689" t="inlineStr"/>
      <c r="H689" t="inlineStr"/>
    </row>
    <row r="690">
      <c r="A690" t="inlineStr">
        <is>
          <t>PHS-0264</t>
        </is>
      </c>
      <c r="B690" t="inlineStr">
        <is>
          <t>https://mickeyblog.com/2025/03/28/stand-out-with-this-new-a-goofy-movie-30th-anniversary-magicband/</t>
        </is>
      </c>
      <c r="C690" t="inlineStr">
        <is>
          <t>mickeyblog.com</t>
        </is>
      </c>
      <c r="D690" t="inlineStr">
        <is>
          <t>secondary</t>
        </is>
      </c>
      <c r="E690" t="inlineStr">
        <is>
          <t>search snippet / page</t>
        </is>
      </c>
      <c r="F690" t="inlineStr"/>
      <c r="G690" t="inlineStr"/>
      <c r="H690" t="inlineStr"/>
    </row>
    <row r="691">
      <c r="A691" t="inlineStr">
        <is>
          <t>PHS-0264</t>
        </is>
      </c>
      <c r="B691" t="inlineStr">
        <is>
          <t>https://wdwnt.com/2025/03/new-limited-edition-pins-available-at-walt-disney-world/</t>
        </is>
      </c>
      <c r="C691" t="inlineStr">
        <is>
          <t>wdwnt.com</t>
        </is>
      </c>
      <c r="D691" t="inlineStr">
        <is>
          <t>secondary</t>
        </is>
      </c>
      <c r="E691" t="inlineStr">
        <is>
          <t>search snippet / page</t>
        </is>
      </c>
      <c r="F691" t="inlineStr"/>
      <c r="G691" t="inlineStr"/>
      <c r="H691" t="inlineStr"/>
    </row>
    <row r="692">
      <c r="A692" t="inlineStr">
        <is>
          <t>PHS-0265</t>
        </is>
      </c>
      <c r="B692" t="inlineStr">
        <is>
          <t>https://wdwnt.com/2025/03/new-limited-edition-pins-available-at-walt-disney-world/</t>
        </is>
      </c>
      <c r="C692" t="inlineStr">
        <is>
          <t>wdwnt.com</t>
        </is>
      </c>
      <c r="D692" t="inlineStr">
        <is>
          <t>secondary</t>
        </is>
      </c>
      <c r="E692" t="inlineStr">
        <is>
          <t>search snippet / page</t>
        </is>
      </c>
      <c r="F692" t="inlineStr"/>
      <c r="G692" t="inlineStr"/>
      <c r="H692" t="inlineStr"/>
    </row>
    <row r="693">
      <c r="A693" t="inlineStr">
        <is>
          <t>PHS-0266</t>
        </is>
      </c>
      <c r="B693" t="inlineStr">
        <is>
          <t>https://disneypinsblog.com/new-disney-pins-april-2025-week-3/</t>
        </is>
      </c>
      <c r="C693" t="inlineStr">
        <is>
          <t>disneypinsblog.com</t>
        </is>
      </c>
      <c r="D693" t="inlineStr">
        <is>
          <t>secondary</t>
        </is>
      </c>
      <c r="E693" t="inlineStr">
        <is>
          <t>search snippet / page</t>
        </is>
      </c>
      <c r="F693" t="inlineStr"/>
      <c r="G693" t="inlineStr"/>
      <c r="H693" t="inlineStr"/>
    </row>
    <row r="694">
      <c r="A694" t="inlineStr">
        <is>
          <t>PHS-0266</t>
        </is>
      </c>
      <c r="B694" t="inlineStr">
        <is>
          <t>https://wdwnt.com/2025/04/the-little-mermaid-pirates-of-the-caribbean-and-other-new-limited-edition-disney-trading-pins-at-walt-disney-world/</t>
        </is>
      </c>
      <c r="C694" t="inlineStr">
        <is>
          <t>wdwnt.com</t>
        </is>
      </c>
      <c r="D694" t="inlineStr">
        <is>
          <t>secondary</t>
        </is>
      </c>
      <c r="E694" t="inlineStr">
        <is>
          <t>search snippet / page</t>
        </is>
      </c>
      <c r="F694" t="inlineStr"/>
      <c r="G694" t="inlineStr"/>
      <c r="H694" t="inlineStr"/>
    </row>
    <row r="695">
      <c r="A695" t="inlineStr">
        <is>
          <t>PHS-0267</t>
        </is>
      </c>
      <c r="B695" t="inlineStr">
        <is>
          <t>https://disneypinsblog.com/new-disney-pins-may-2025-week-4/</t>
        </is>
      </c>
      <c r="C695" t="inlineStr">
        <is>
          <t>disneypinsblog.com</t>
        </is>
      </c>
      <c r="D695" t="inlineStr">
        <is>
          <t>secondary</t>
        </is>
      </c>
      <c r="E695" t="inlineStr">
        <is>
          <t>search snippet / page</t>
        </is>
      </c>
      <c r="F695" t="inlineStr"/>
      <c r="G695" t="inlineStr"/>
      <c r="H695" t="inlineStr"/>
    </row>
    <row r="696">
      <c r="A696" t="inlineStr">
        <is>
          <t>PHS-0267</t>
        </is>
      </c>
      <c r="B696" t="inlineStr">
        <is>
          <t>https://wdwnt.com/2025/04/catalog-released-for-sold-out-spring-2025-walt-disney-world-pin-trading-night/</t>
        </is>
      </c>
      <c r="C696" t="inlineStr">
        <is>
          <t>wdwnt.com</t>
        </is>
      </c>
      <c r="D696" t="inlineStr">
        <is>
          <t>secondary</t>
        </is>
      </c>
      <c r="E696" t="inlineStr">
        <is>
          <t>search snippet / page</t>
        </is>
      </c>
      <c r="F696" t="inlineStr"/>
      <c r="G696" t="inlineStr"/>
      <c r="H696" t="inlineStr"/>
    </row>
    <row r="697">
      <c r="A697" t="inlineStr">
        <is>
          <t>PHS-0268</t>
        </is>
      </c>
      <c r="B697" t="inlineStr">
        <is>
          <t>https://disneymouseketeer.com/tiana-sweet-treat-day-2025-limited-release-pin/</t>
        </is>
      </c>
      <c r="C697" t="inlineStr">
        <is>
          <t>disneymouseketeer.com</t>
        </is>
      </c>
      <c r="D697" t="inlineStr">
        <is>
          <t>secondary</t>
        </is>
      </c>
      <c r="E697" t="inlineStr">
        <is>
          <t>search snippet / page</t>
        </is>
      </c>
      <c r="F697" t="inlineStr"/>
      <c r="G697" t="inlineStr"/>
      <c r="H697" t="inlineStr"/>
    </row>
    <row r="698">
      <c r="A698" t="inlineStr">
        <is>
          <t>PHS-0268</t>
        </is>
      </c>
      <c r="B698" t="inlineStr">
        <is>
          <t>https://wdwnt.com/2025/09/pin-tuesday-tianas-sweet-treats-and-dining-series-now-available-at-disney-world/</t>
        </is>
      </c>
      <c r="C698" t="inlineStr">
        <is>
          <t>wdwnt.com</t>
        </is>
      </c>
      <c r="D698" t="inlineStr">
        <is>
          <t>secondary</t>
        </is>
      </c>
      <c r="E698" t="inlineStr">
        <is>
          <t>search snippet / page</t>
        </is>
      </c>
      <c r="F698" t="inlineStr"/>
      <c r="G698" t="inlineStr"/>
      <c r="H698" t="inlineStr"/>
    </row>
    <row r="699">
      <c r="A699" t="inlineStr">
        <is>
          <t>PHS-0269</t>
        </is>
      </c>
      <c r="B699" t="inlineStr">
        <is>
          <t>https://wdwnt.com/2025/11/disney-world-pin-tuesday-tangled-15th-fantasia-genie-medal/</t>
        </is>
      </c>
      <c r="C699" t="inlineStr">
        <is>
          <t>wdwnt.com</t>
        </is>
      </c>
      <c r="D699" t="inlineStr">
        <is>
          <t>secondary</t>
        </is>
      </c>
      <c r="E699" t="inlineStr">
        <is>
          <t>search snippet / page</t>
        </is>
      </c>
      <c r="F699" t="inlineStr"/>
      <c r="G699" t="inlineStr"/>
      <c r="H699" t="inlineStr"/>
    </row>
    <row r="700">
      <c r="A700" t="inlineStr">
        <is>
          <t>PHS-0270</t>
        </is>
      </c>
      <c r="B700" t="inlineStr">
        <is>
          <t>https://wdwnt.com/2025/11/disney-world-pin-tuesday-tangled-15th-fantasia-genie-medal/</t>
        </is>
      </c>
      <c r="C700" t="inlineStr">
        <is>
          <t>wdwnt.com</t>
        </is>
      </c>
      <c r="D700" t="inlineStr">
        <is>
          <t>secondary</t>
        </is>
      </c>
      <c r="E700" t="inlineStr">
        <is>
          <t>search snippet / page</t>
        </is>
      </c>
      <c r="F700" t="inlineStr"/>
      <c r="G700" t="inlineStr"/>
      <c r="H700" t="inlineStr"/>
    </row>
    <row r="701">
      <c r="A701" t="inlineStr">
        <is>
          <t>PHS-0271</t>
        </is>
      </c>
      <c r="B701" t="inlineStr">
        <is>
          <t>https://wdwnt.com/2025/11/disney-world-pin-tuesday-trading-25th-pluto-christmas/</t>
        </is>
      </c>
      <c r="C701" t="inlineStr">
        <is>
          <t>wdwnt.com</t>
        </is>
      </c>
      <c r="D701" t="inlineStr">
        <is>
          <t>secondary</t>
        </is>
      </c>
      <c r="E701" t="inlineStr">
        <is>
          <t>search snippet / page</t>
        </is>
      </c>
      <c r="F701" t="inlineStr"/>
      <c r="G701" t="inlineStr"/>
      <c r="H701" t="inlineStr"/>
    </row>
    <row r="702">
      <c r="A702" t="inlineStr">
        <is>
          <t>PHS-0272</t>
        </is>
      </c>
      <c r="B702" t="inlineStr">
        <is>
          <t>https://disneypinsblog.com/new-disney-pins-december-2025-week-3/</t>
        </is>
      </c>
      <c r="C702" t="inlineStr">
        <is>
          <t>disneypinsblog.com</t>
        </is>
      </c>
      <c r="D702" t="inlineStr">
        <is>
          <t>secondary</t>
        </is>
      </c>
      <c r="E702" t="inlineStr">
        <is>
          <t>search snippet / page</t>
        </is>
      </c>
      <c r="F702" t="inlineStr"/>
      <c r="G702" t="inlineStr"/>
      <c r="H702" t="inlineStr"/>
    </row>
    <row r="703">
      <c r="A703" t="inlineStr">
        <is>
          <t>PHS-0272</t>
        </is>
      </c>
      <c r="B703" t="inlineStr">
        <is>
          <t>https://muppet.fandom.com/wiki/Muppet_pins_(Disney)</t>
        </is>
      </c>
      <c r="C703" t="inlineStr">
        <is>
          <t>muppet.fandom.com</t>
        </is>
      </c>
      <c r="D703" t="inlineStr">
        <is>
          <t>secondary</t>
        </is>
      </c>
      <c r="E703" t="inlineStr">
        <is>
          <t>search snippet / page</t>
        </is>
      </c>
      <c r="F703" t="inlineStr"/>
      <c r="G703" t="inlineStr"/>
      <c r="H703" t="inlineStr"/>
    </row>
    <row r="704">
      <c r="A704" t="inlineStr">
        <is>
          <t>PHS-0272</t>
        </is>
      </c>
      <c r="B704" t="inlineStr">
        <is>
          <t>https://static.wdwnt.com/2025/12/disney-world-pin-tuesday-force-awakens-10th-anniversary-muppet-new-year-more/</t>
        </is>
      </c>
      <c r="C704" t="inlineStr">
        <is>
          <t>static.wdwnt.com</t>
        </is>
      </c>
      <c r="D704" t="inlineStr">
        <is>
          <t>secondary</t>
        </is>
      </c>
      <c r="E704" t="inlineStr">
        <is>
          <t>search snippet / page</t>
        </is>
      </c>
      <c r="F704" t="inlineStr"/>
      <c r="G704" t="inlineStr"/>
      <c r="H704" t="inlineStr"/>
    </row>
    <row r="705">
      <c r="A705" t="inlineStr">
        <is>
          <t>PHS-0272</t>
        </is>
      </c>
      <c r="B705" t="inlineStr">
        <is>
          <t>https://wdwnt.com/2025/12/disney-world-pin-tuesday-force-awakens-10th-anniversary-muppet-new-year-more/</t>
        </is>
      </c>
      <c r="C705" t="inlineStr">
        <is>
          <t>wdwnt.com</t>
        </is>
      </c>
      <c r="D705" t="inlineStr">
        <is>
          <t>secondary</t>
        </is>
      </c>
      <c r="E705" t="inlineStr">
        <is>
          <t>search snippet / page</t>
        </is>
      </c>
      <c r="F705" t="inlineStr"/>
      <c r="G705" t="inlineStr"/>
      <c r="H705" t="inlineStr"/>
    </row>
    <row r="706">
      <c r="A706" t="inlineStr">
        <is>
          <t>PHS-0273</t>
        </is>
      </c>
      <c r="B706" t="inlineStr">
        <is>
          <t>https://www.disneystore.com.au/star-wars-the-force-awakens-10th-anniversary-logo-pin-438010161938.html</t>
        </is>
      </c>
      <c r="C706" t="inlineStr">
        <is>
          <t>disneystore.com.au</t>
        </is>
      </c>
      <c r="D706" t="inlineStr">
        <is>
          <t>official</t>
        </is>
      </c>
      <c r="E706" t="inlineStr">
        <is>
          <t>search snippet / page</t>
        </is>
      </c>
      <c r="F706" t="inlineStr"/>
      <c r="G706" t="inlineStr"/>
      <c r="H706" t="inlineStr"/>
    </row>
    <row r="707">
      <c r="A707" t="inlineStr">
        <is>
          <t>PHS-0273</t>
        </is>
      </c>
      <c r="B707" t="inlineStr">
        <is>
          <t>https://disneypinsblog.com/new-disney-pins-december-2025-week-3/</t>
        </is>
      </c>
      <c r="C707" t="inlineStr">
        <is>
          <t>disneypinsblog.com</t>
        </is>
      </c>
      <c r="D707" t="inlineStr">
        <is>
          <t>secondary</t>
        </is>
      </c>
      <c r="E707" t="inlineStr">
        <is>
          <t>search snippet / page</t>
        </is>
      </c>
      <c r="F707" t="inlineStr"/>
      <c r="G707" t="inlineStr"/>
      <c r="H707" t="inlineStr"/>
    </row>
    <row r="708">
      <c r="A708" t="inlineStr">
        <is>
          <t>PHS-0273</t>
        </is>
      </c>
      <c r="B708" t="inlineStr">
        <is>
          <t>https://wdwnt.com/2025/12/disney-world-pin-tuesday-force-awakens-10th-anniversary-muppet-new-year-more/</t>
        </is>
      </c>
      <c r="C708" t="inlineStr">
        <is>
          <t>wdwnt.com</t>
        </is>
      </c>
      <c r="D708" t="inlineStr">
        <is>
          <t>secondary</t>
        </is>
      </c>
      <c r="E708" t="inlineStr">
        <is>
          <t>search snippet / page</t>
        </is>
      </c>
      <c r="F708" t="inlineStr"/>
      <c r="G708" t="inlineStr"/>
      <c r="H708" t="inlineStr"/>
    </row>
    <row r="709">
      <c r="A709" t="inlineStr">
        <is>
          <t>PHS-0274</t>
        </is>
      </c>
      <c r="B709" t="inlineStr">
        <is>
          <t>https://wdwnt.com/2025/12/disney-world-pin-tuesday-be-our-guest-lunar-new-year/</t>
        </is>
      </c>
      <c r="C709" t="inlineStr">
        <is>
          <t>wdwnt.com</t>
        </is>
      </c>
      <c r="D709" t="inlineStr">
        <is>
          <t>secondary</t>
        </is>
      </c>
      <c r="E709" t="inlineStr">
        <is>
          <t>search snippet / page</t>
        </is>
      </c>
      <c r="F709" t="inlineStr"/>
      <c r="G709" t="inlineStr"/>
      <c r="H709" t="inlineStr"/>
    </row>
    <row r="710">
      <c r="A710" t="inlineStr">
        <is>
          <t>PHS-0275</t>
        </is>
      </c>
      <c r="B710" t="inlineStr">
        <is>
          <t>https://disneypinsblog.com/new-disney-pins-june-2026-week-3/</t>
        </is>
      </c>
      <c r="C710" t="inlineStr">
        <is>
          <t>disneypinsblog.com</t>
        </is>
      </c>
      <c r="D710" t="inlineStr">
        <is>
          <t>secondary</t>
        </is>
      </c>
      <c r="E710" t="inlineStr">
        <is>
          <t>search snippet / page</t>
        </is>
      </c>
      <c r="F710" t="inlineStr"/>
      <c r="G710" t="inlineStr"/>
      <c r="H710" t="inlineStr"/>
    </row>
    <row r="711">
      <c r="A711" t="inlineStr">
        <is>
          <t>PHS-0275</t>
        </is>
      </c>
      <c r="B711" t="inlineStr">
        <is>
          <t>https://disneypinsblog.com/new-disney-pins-march-2026-week-3/</t>
        </is>
      </c>
      <c r="C711" t="inlineStr">
        <is>
          <t>disneypinsblog.com</t>
        </is>
      </c>
      <c r="D711" t="inlineStr">
        <is>
          <t>secondary</t>
        </is>
      </c>
      <c r="E711" t="inlineStr">
        <is>
          <t>search snippet / page</t>
        </is>
      </c>
      <c r="F711" t="inlineStr"/>
      <c r="G711" t="inlineStr"/>
      <c r="H711" t="inlineStr"/>
    </row>
    <row r="712">
      <c r="A712" t="inlineStr">
        <is>
          <t>PHS-0275</t>
        </is>
      </c>
      <c r="B712" t="inlineStr">
        <is>
          <t>https://wdwnt.com/2026/03/disney-world-pin-tuesday-spring-break-enchanted-doors-a-2-z-series-doctors-day/</t>
        </is>
      </c>
      <c r="C712" t="inlineStr">
        <is>
          <t>wdwnt.com</t>
        </is>
      </c>
      <c r="D712" t="inlineStr">
        <is>
          <t>secondary</t>
        </is>
      </c>
      <c r="E712" t="inlineStr">
        <is>
          <t>search snippet / page</t>
        </is>
      </c>
      <c r="F712" t="inlineStr"/>
      <c r="G712" t="inlineStr"/>
      <c r="H712" t="inlineStr"/>
    </row>
    <row r="713">
      <c r="A713" t="inlineStr">
        <is>
          <t>PHS-0275</t>
        </is>
      </c>
      <c r="B713" t="inlineStr">
        <is>
          <t>https://wdwnt.com/2026/05/disney-world-pin-tuesday-sam-eagle-america-250th-anniversary-madam-mim-a-2-z-set/</t>
        </is>
      </c>
      <c r="C713" t="inlineStr">
        <is>
          <t>wdwnt.com</t>
        </is>
      </c>
      <c r="D713" t="inlineStr">
        <is>
          <t>secondary</t>
        </is>
      </c>
      <c r="E713" t="inlineStr">
        <is>
          <t>search snippet / page</t>
        </is>
      </c>
      <c r="F713" t="inlineStr"/>
      <c r="G713" t="inlineStr"/>
      <c r="H713" t="inlineStr"/>
    </row>
    <row r="714">
      <c r="A714" t="inlineStr">
        <is>
          <t>PHS-0275</t>
        </is>
      </c>
      <c r="B714" t="inlineStr">
        <is>
          <t>https://wdwnt.com/2026/06/disney-world-pin-tuesday-even-more-daring-detectives-the-hunchback-of-notre-dame-30th-anniversary-and-enchanted-doors/</t>
        </is>
      </c>
      <c r="C714" t="inlineStr">
        <is>
          <t>wdwnt.com</t>
        </is>
      </c>
      <c r="D714" t="inlineStr">
        <is>
          <t>secondary</t>
        </is>
      </c>
      <c r="E714" t="inlineStr">
        <is>
          <t>search snippet / page</t>
        </is>
      </c>
      <c r="F714" t="inlineStr"/>
      <c r="G714" t="inlineStr"/>
      <c r="H714" t="inlineStr"/>
    </row>
    <row r="715">
      <c r="A715" t="inlineStr">
        <is>
          <t>PHS-0276</t>
        </is>
      </c>
      <c r="B715" t="inlineStr">
        <is>
          <t>https://www.disneystore.com/deadpool-10th-anniversary-pin-limited-release-438010104492.html</t>
        </is>
      </c>
      <c r="C715" t="inlineStr">
        <is>
          <t>disneystore.com</t>
        </is>
      </c>
      <c r="D715" t="inlineStr">
        <is>
          <t>official</t>
        </is>
      </c>
      <c r="E715" t="inlineStr">
        <is>
          <t>search snippet / page</t>
        </is>
      </c>
      <c r="F715" t="inlineStr"/>
      <c r="G715" t="inlineStr"/>
      <c r="H715" t="inlineStr"/>
    </row>
    <row r="716">
      <c r="A716" t="inlineStr">
        <is>
          <t>PHS-0276</t>
        </is>
      </c>
      <c r="B716" t="inlineStr">
        <is>
          <t>https://wdwnt.com/2026/01/disney-world-pin-tuesday-deadpool-10th-anniversary-valentines-day-pins/</t>
        </is>
      </c>
      <c r="C716" t="inlineStr">
        <is>
          <t>wdwnt.com</t>
        </is>
      </c>
      <c r="D716" t="inlineStr">
        <is>
          <t>secondary</t>
        </is>
      </c>
      <c r="E716" t="inlineStr">
        <is>
          <t>search snippet / page</t>
        </is>
      </c>
      <c r="F716" t="inlineStr"/>
      <c r="G716" t="inlineStr"/>
      <c r="H716" t="inlineStr"/>
    </row>
    <row r="717">
      <c r="A717" t="inlineStr">
        <is>
          <t>PHS-0277</t>
        </is>
      </c>
      <c r="B717" t="inlineStr">
        <is>
          <t>https://www.disneystore.eu/aladdin-and-princess-jasmine-valentines-day-2026-limited-release-pin-438010544007.html</t>
        </is>
      </c>
      <c r="C717" t="inlineStr">
        <is>
          <t>disneystore.eu</t>
        </is>
      </c>
      <c r="D717" t="inlineStr">
        <is>
          <t>official</t>
        </is>
      </c>
      <c r="E717" t="inlineStr">
        <is>
          <t>search snippet / page</t>
        </is>
      </c>
      <c r="F717" t="inlineStr"/>
      <c r="G717" t="inlineStr"/>
      <c r="H717" t="inlineStr"/>
    </row>
    <row r="718">
      <c r="A718" t="inlineStr">
        <is>
          <t>PHS-0277</t>
        </is>
      </c>
      <c r="B718" t="inlineStr">
        <is>
          <t>https://wdwnt.com/2026/01/disney-world-pin-tuesday-deadpool-10th-anniversary-valentines-day-pins/</t>
        </is>
      </c>
      <c r="C718" t="inlineStr">
        <is>
          <t>wdwnt.com</t>
        </is>
      </c>
      <c r="D718" t="inlineStr">
        <is>
          <t>secondary</t>
        </is>
      </c>
      <c r="E718" t="inlineStr">
        <is>
          <t>search snippet / page</t>
        </is>
      </c>
      <c r="F718" t="inlineStr"/>
      <c r="G718" t="inlineStr"/>
      <c r="H718" t="inlineStr"/>
    </row>
    <row r="719">
      <c r="A719" t="inlineStr">
        <is>
          <t>PHS-0278</t>
        </is>
      </c>
      <c r="B719" t="inlineStr">
        <is>
          <t>https://wdwnt.com/2026/02/disney-world-pin-tuesday-muppets-disneys-hollywood-studios-high-school-musical-20th-anniversary-and-more/</t>
        </is>
      </c>
      <c r="C719" t="inlineStr">
        <is>
          <t>wdwnt.com</t>
        </is>
      </c>
      <c r="D719" t="inlineStr">
        <is>
          <t>secondary</t>
        </is>
      </c>
      <c r="E719" t="inlineStr">
        <is>
          <t>search snippet / page</t>
        </is>
      </c>
      <c r="F719" t="inlineStr"/>
      <c r="G719" t="inlineStr"/>
      <c r="H719" t="inlineStr"/>
    </row>
    <row r="720">
      <c r="A720" t="inlineStr">
        <is>
          <t>PHS-0279</t>
        </is>
      </c>
      <c r="B720" t="inlineStr">
        <is>
          <t>https://wdwnt.com/2026/02/disney-world-pin-tuesday-muppets-disneys-hollywood-studios-high-school-musical-20th-anniversary-and-more/</t>
        </is>
      </c>
      <c r="C720" t="inlineStr">
        <is>
          <t>wdwnt.com</t>
        </is>
      </c>
      <c r="D720" t="inlineStr">
        <is>
          <t>secondary</t>
        </is>
      </c>
      <c r="E720" t="inlineStr">
        <is>
          <t>search snippet / page</t>
        </is>
      </c>
      <c r="F720" t="inlineStr"/>
      <c r="G720" t="inlineStr"/>
      <c r="H720" t="inlineStr"/>
    </row>
    <row r="721">
      <c r="A721" t="inlineStr">
        <is>
          <t>PHS-0279</t>
        </is>
      </c>
      <c r="B721" t="inlineStr">
        <is>
          <t>https://www.laughingplace.com/disney-parks/muppets-disney-park-day-pins-february/</t>
        </is>
      </c>
      <c r="C721" t="inlineStr">
        <is>
          <t>laughingplace.com</t>
        </is>
      </c>
      <c r="D721" t="inlineStr">
        <is>
          <t>secondary</t>
        </is>
      </c>
      <c r="E721" t="inlineStr">
        <is>
          <t>search snippet / page</t>
        </is>
      </c>
      <c r="F721" t="inlineStr"/>
      <c r="G721" t="inlineStr"/>
      <c r="H721" t="inlineStr"/>
    </row>
    <row r="722">
      <c r="A722" t="inlineStr">
        <is>
          <t>PHS-0280</t>
        </is>
      </c>
      <c r="B722" t="inlineStr">
        <is>
          <t>https://disneypinsblog.com/blogs/news/new-disney-pins-february-2026-week-1</t>
        </is>
      </c>
      <c r="C722" t="inlineStr">
        <is>
          <t>disneypinsblog.com</t>
        </is>
      </c>
      <c r="D722" t="inlineStr">
        <is>
          <t>secondary</t>
        </is>
      </c>
      <c r="E722" t="inlineStr">
        <is>
          <t>search snippet / page</t>
        </is>
      </c>
      <c r="F722" t="inlineStr"/>
      <c r="G722" t="inlineStr"/>
      <c r="H722" t="inlineStr"/>
    </row>
    <row r="723">
      <c r="A723" t="inlineStr">
        <is>
          <t>PHS-0280</t>
        </is>
      </c>
      <c r="B723" t="inlineStr">
        <is>
          <t>https://wdwnt.com/2026/02/disney-world-pin-tuesday-the-muppets-chip-n-dale-play-along-pins-windows-of-attraction/</t>
        </is>
      </c>
      <c r="C723" t="inlineStr">
        <is>
          <t>wdwnt.com</t>
        </is>
      </c>
      <c r="D723" t="inlineStr">
        <is>
          <t>secondary</t>
        </is>
      </c>
      <c r="E723" t="inlineStr">
        <is>
          <t>search snippet / page</t>
        </is>
      </c>
      <c r="F723" t="inlineStr"/>
      <c r="G723" t="inlineStr"/>
      <c r="H723" t="inlineStr"/>
    </row>
    <row r="724">
      <c r="A724" t="inlineStr">
        <is>
          <t>PHS-0281</t>
        </is>
      </c>
      <c r="B724" t="inlineStr">
        <is>
          <t>https://disneypinsblog.com/blogs/news/new-disney-pins-february-2026-week-1</t>
        </is>
      </c>
      <c r="C724" t="inlineStr">
        <is>
          <t>disneypinsblog.com</t>
        </is>
      </c>
      <c r="D724" t="inlineStr">
        <is>
          <t>secondary</t>
        </is>
      </c>
      <c r="E724" t="inlineStr">
        <is>
          <t>search snippet / page</t>
        </is>
      </c>
      <c r="F724" t="inlineStr"/>
      <c r="G724" t="inlineStr"/>
      <c r="H724" t="inlineStr"/>
    </row>
    <row r="725">
      <c r="A725" t="inlineStr">
        <is>
          <t>PHS-0281</t>
        </is>
      </c>
      <c r="B725" t="inlineStr">
        <is>
          <t>https://wdwnt.com/2026/02/disney-world-pin-tuesday-the-muppets-chip-n-dale-play-along-pins-windows-of-attraction/</t>
        </is>
      </c>
      <c r="C725" t="inlineStr">
        <is>
          <t>wdwnt.com</t>
        </is>
      </c>
      <c r="D725" t="inlineStr">
        <is>
          <t>secondary</t>
        </is>
      </c>
      <c r="E725" t="inlineStr">
        <is>
          <t>search snippet / page</t>
        </is>
      </c>
      <c r="F725" t="inlineStr"/>
      <c r="G725" t="inlineStr"/>
      <c r="H725" t="inlineStr"/>
    </row>
    <row r="726">
      <c r="A726" t="inlineStr">
        <is>
          <t>PHS-0281</t>
        </is>
      </c>
      <c r="B726" t="inlineStr">
        <is>
          <t>https://www.fantasylandnews.com/2026/01/30/kingdom-hearts-the-muppets-disney-park-day-headline-february-pin-drops/</t>
        </is>
      </c>
      <c r="C726" t="inlineStr">
        <is>
          <t>fantasylandnews.com</t>
        </is>
      </c>
      <c r="D726" t="inlineStr">
        <is>
          <t>secondary</t>
        </is>
      </c>
      <c r="E726" t="inlineStr">
        <is>
          <t>search snippet / page</t>
        </is>
      </c>
      <c r="F726" t="inlineStr"/>
      <c r="G726" t="inlineStr"/>
      <c r="H726" t="inlineStr"/>
    </row>
    <row r="727">
      <c r="A727" t="inlineStr">
        <is>
          <t>PHS-0281</t>
        </is>
      </c>
      <c r="B727" t="inlineStr">
        <is>
          <t>https://www.laughingplace.com/disney-parks/muppets-disney-park-day-pins-february/</t>
        </is>
      </c>
      <c r="C727" t="inlineStr">
        <is>
          <t>laughingplace.com</t>
        </is>
      </c>
      <c r="D727" t="inlineStr">
        <is>
          <t>secondary</t>
        </is>
      </c>
      <c r="E727" t="inlineStr">
        <is>
          <t>search snippet / page</t>
        </is>
      </c>
      <c r="F727" t="inlineStr"/>
      <c r="G727" t="inlineStr"/>
      <c r="H727" t="inlineStr"/>
    </row>
    <row r="728">
      <c r="A728" t="inlineStr">
        <is>
          <t>PHS-0282</t>
        </is>
      </c>
      <c r="B728" t="inlineStr">
        <is>
          <t>https://disneypinsblog.com/blogs/news/new-disney-pins-february-2026-week-1</t>
        </is>
      </c>
      <c r="C728" t="inlineStr">
        <is>
          <t>disneypinsblog.com</t>
        </is>
      </c>
      <c r="D728" t="inlineStr">
        <is>
          <t>secondary</t>
        </is>
      </c>
      <c r="E728" t="inlineStr">
        <is>
          <t>search snippet / page</t>
        </is>
      </c>
      <c r="F728" t="inlineStr"/>
      <c r="G728" t="inlineStr"/>
      <c r="H728" t="inlineStr"/>
    </row>
    <row r="729">
      <c r="A729" t="inlineStr">
        <is>
          <t>PHS-0282</t>
        </is>
      </c>
      <c r="B729" t="inlineStr">
        <is>
          <t>https://wdwnt.com/2026/02/disney-world-pin-tuesday-the-muppets-chip-n-dale-play-along-pins-windows-of-attraction/</t>
        </is>
      </c>
      <c r="C729" t="inlineStr">
        <is>
          <t>wdwnt.com</t>
        </is>
      </c>
      <c r="D729" t="inlineStr">
        <is>
          <t>secondary</t>
        </is>
      </c>
      <c r="E729" t="inlineStr">
        <is>
          <t>search snippet / page</t>
        </is>
      </c>
      <c r="F729" t="inlineStr"/>
      <c r="G729" t="inlineStr"/>
      <c r="H729" t="inlineStr"/>
    </row>
    <row r="730">
      <c r="A730" t="inlineStr">
        <is>
          <t>PHS-0283</t>
        </is>
      </c>
      <c r="B730" t="inlineStr">
        <is>
          <t>https://disneypinsblog.com/new-disney-pins-february-2026-week-4/</t>
        </is>
      </c>
      <c r="C730" t="inlineStr">
        <is>
          <t>disneypinsblog.com</t>
        </is>
      </c>
      <c r="D730" t="inlineStr">
        <is>
          <t>secondary</t>
        </is>
      </c>
      <c r="E730" t="inlineStr">
        <is>
          <t>search snippet / page</t>
        </is>
      </c>
      <c r="F730" t="inlineStr"/>
      <c r="G730" t="inlineStr"/>
      <c r="H730" t="inlineStr"/>
    </row>
    <row r="731">
      <c r="A731" t="inlineStr">
        <is>
          <t>PHS-0283</t>
        </is>
      </c>
      <c r="B731" t="inlineStr">
        <is>
          <t>https://wdwnt.com/2026/02/disney-world-pin-tuesday-zootopia-10th-anniversary-muppets-disney-park-day/</t>
        </is>
      </c>
      <c r="C731" t="inlineStr">
        <is>
          <t>wdwnt.com</t>
        </is>
      </c>
      <c r="D731" t="inlineStr">
        <is>
          <t>secondary</t>
        </is>
      </c>
      <c r="E731" t="inlineStr">
        <is>
          <t>search snippet / page</t>
        </is>
      </c>
      <c r="F731" t="inlineStr"/>
      <c r="G731" t="inlineStr"/>
      <c r="H731" t="inlineStr"/>
    </row>
    <row r="732">
      <c r="A732" t="inlineStr">
        <is>
          <t>PHS-0284</t>
        </is>
      </c>
      <c r="B732" t="inlineStr">
        <is>
          <t>https://disneypinsblog.com/new-disney-pins-february-2026-week-4/</t>
        </is>
      </c>
      <c r="C732" t="inlineStr">
        <is>
          <t>disneypinsblog.com</t>
        </is>
      </c>
      <c r="D732" t="inlineStr">
        <is>
          <t>secondary</t>
        </is>
      </c>
      <c r="E732" t="inlineStr">
        <is>
          <t>search snippet / page</t>
        </is>
      </c>
      <c r="F732" t="inlineStr"/>
      <c r="G732" t="inlineStr"/>
      <c r="H732" t="inlineStr"/>
    </row>
    <row r="733">
      <c r="A733" t="inlineStr">
        <is>
          <t>PHS-0284</t>
        </is>
      </c>
      <c r="B733" t="inlineStr">
        <is>
          <t>https://wdwnt.com/2026/02/disney-world-pin-tuesday-zootopia-10th-anniversary-muppets-disney-park-day/</t>
        </is>
      </c>
      <c r="C733" t="inlineStr">
        <is>
          <t>wdwnt.com</t>
        </is>
      </c>
      <c r="D733" t="inlineStr">
        <is>
          <t>secondary</t>
        </is>
      </c>
      <c r="E733" t="inlineStr">
        <is>
          <t>search snippet / page</t>
        </is>
      </c>
      <c r="F733" t="inlineStr"/>
      <c r="G733" t="inlineStr"/>
      <c r="H733" t="inlineStr"/>
    </row>
    <row r="734">
      <c r="A734" t="inlineStr">
        <is>
          <t>PHS-0285</t>
        </is>
      </c>
      <c r="B734" t="inlineStr">
        <is>
          <t>https://wdwnt.com/2026/03/disney-world-pin-tuesday-spring-break-enchanted-doors-a-2-z-series-doctors-day/</t>
        </is>
      </c>
      <c r="C734" t="inlineStr">
        <is>
          <t>wdwnt.com</t>
        </is>
      </c>
      <c r="D734" t="inlineStr">
        <is>
          <t>secondary</t>
        </is>
      </c>
      <c r="E734" t="inlineStr">
        <is>
          <t>search snippet / page</t>
        </is>
      </c>
      <c r="F734" t="inlineStr"/>
      <c r="G734" t="inlineStr"/>
      <c r="H734" t="inlineStr"/>
    </row>
    <row r="735">
      <c r="A735" t="inlineStr">
        <is>
          <t>PHS-0286</t>
        </is>
      </c>
      <c r="B735" t="inlineStr">
        <is>
          <t>https://disneypinsblog.com/blogs/news/new-disney-pins-march-2026-week-2</t>
        </is>
      </c>
      <c r="C735" t="inlineStr">
        <is>
          <t>disneypinsblog.com</t>
        </is>
      </c>
      <c r="D735" t="inlineStr">
        <is>
          <t>secondary</t>
        </is>
      </c>
      <c r="E735" t="inlineStr">
        <is>
          <t>search snippet / page</t>
        </is>
      </c>
      <c r="F735" t="inlineStr"/>
      <c r="G735" t="inlineStr"/>
      <c r="H735" t="inlineStr"/>
    </row>
    <row r="736">
      <c r="A736" t="inlineStr">
        <is>
          <t>PHS-0286</t>
        </is>
      </c>
      <c r="B736" t="inlineStr">
        <is>
          <t>https://wdwnt.com/2026/03/disney-world-pin-tuesday-kate-maria-artist-collection-inspired-by-attraction-animals/</t>
        </is>
      </c>
      <c r="C736" t="inlineStr">
        <is>
          <t>wdwnt.com</t>
        </is>
      </c>
      <c r="D736" t="inlineStr">
        <is>
          <t>secondary</t>
        </is>
      </c>
      <c r="E736" t="inlineStr">
        <is>
          <t>search snippet / page</t>
        </is>
      </c>
      <c r="F736" t="inlineStr"/>
      <c r="G736" t="inlineStr"/>
      <c r="H736" t="inlineStr"/>
    </row>
    <row r="737">
      <c r="A737" t="inlineStr">
        <is>
          <t>PHS-0286</t>
        </is>
      </c>
      <c r="B737" t="inlineStr">
        <is>
          <t>https://www.laughingplace.com/disney-merchandise/disney-store-pin-drop-march-2026/</t>
        </is>
      </c>
      <c r="C737" t="inlineStr">
        <is>
          <t>laughingplace.com</t>
        </is>
      </c>
      <c r="D737" t="inlineStr">
        <is>
          <t>secondary</t>
        </is>
      </c>
      <c r="E737" t="inlineStr">
        <is>
          <t>search snippet / page</t>
        </is>
      </c>
      <c r="F737" t="inlineStr"/>
      <c r="G737" t="inlineStr"/>
      <c r="H737" t="inlineStr"/>
    </row>
    <row r="738">
      <c r="A738" t="inlineStr">
        <is>
          <t>PHS-0287</t>
        </is>
      </c>
      <c r="B738" t="inlineStr">
        <is>
          <t>https://disneypinsblog.com/new-disney-pins-march-2026-week-4/</t>
        </is>
      </c>
      <c r="C738" t="inlineStr">
        <is>
          <t>disneypinsblog.com</t>
        </is>
      </c>
      <c r="D738" t="inlineStr">
        <is>
          <t>secondary</t>
        </is>
      </c>
      <c r="E738" t="inlineStr">
        <is>
          <t>search snippet / page</t>
        </is>
      </c>
      <c r="F738" t="inlineStr"/>
      <c r="G738" t="inlineStr"/>
      <c r="H738" t="inlineStr"/>
    </row>
    <row r="739">
      <c r="A739" t="inlineStr">
        <is>
          <t>PHS-0287</t>
        </is>
      </c>
      <c r="B739" t="inlineStr">
        <is>
          <t>https://wdwnt.com/2026/03/walt-disney-world-pin-tuesday-limited-edition-easter-expedition-everest/</t>
        </is>
      </c>
      <c r="C739" t="inlineStr">
        <is>
          <t>wdwnt.com</t>
        </is>
      </c>
      <c r="D739" t="inlineStr">
        <is>
          <t>secondary</t>
        </is>
      </c>
      <c r="E739" t="inlineStr">
        <is>
          <t>search snippet / page</t>
        </is>
      </c>
      <c r="F739" t="inlineStr"/>
      <c r="G739" t="inlineStr"/>
      <c r="H739" t="inlineStr"/>
    </row>
    <row r="740">
      <c r="A740" t="inlineStr">
        <is>
          <t>PHS-0288</t>
        </is>
      </c>
      <c r="B740" t="inlineStr">
        <is>
          <t>https://disneypinsblog.com/new-disney-pins-march-2026-week-4/</t>
        </is>
      </c>
      <c r="C740" t="inlineStr">
        <is>
          <t>disneypinsblog.com</t>
        </is>
      </c>
      <c r="D740" t="inlineStr">
        <is>
          <t>secondary</t>
        </is>
      </c>
      <c r="E740" t="inlineStr">
        <is>
          <t>search snippet / page</t>
        </is>
      </c>
      <c r="F740" t="inlineStr"/>
      <c r="G740" t="inlineStr"/>
      <c r="H740" t="inlineStr"/>
    </row>
    <row r="741">
      <c r="A741" t="inlineStr">
        <is>
          <t>PHS-0288</t>
        </is>
      </c>
      <c r="B741" t="inlineStr">
        <is>
          <t>https://wdwnt.com/2026/03/walt-disney-world-pin-tuesday-limited-edition-easter-expedition-everest/</t>
        </is>
      </c>
      <c r="C741" t="inlineStr">
        <is>
          <t>wdwnt.com</t>
        </is>
      </c>
      <c r="D741" t="inlineStr">
        <is>
          <t>secondary</t>
        </is>
      </c>
      <c r="E741" t="inlineStr">
        <is>
          <t>search snippet / page</t>
        </is>
      </c>
      <c r="F741" t="inlineStr"/>
      <c r="G741" t="inlineStr"/>
      <c r="H741" t="inlineStr"/>
    </row>
    <row r="742">
      <c r="A742" t="inlineStr">
        <is>
          <t>PHS-0289</t>
        </is>
      </c>
      <c r="B742" t="inlineStr">
        <is>
          <t>https://wdwnt.com/2026/05/disney-world-pin-tuesday-sam-eagle-america-250th-anniversary-madam-mim-a-2-z-set/</t>
        </is>
      </c>
      <c r="C742" t="inlineStr">
        <is>
          <t>wdwnt.com</t>
        </is>
      </c>
      <c r="D742" t="inlineStr">
        <is>
          <t>secondary</t>
        </is>
      </c>
      <c r="E742" t="inlineStr">
        <is>
          <t>search snippet / page</t>
        </is>
      </c>
      <c r="F742" t="inlineStr"/>
      <c r="G742" t="inlineStr"/>
      <c r="H742" t="inlineStr"/>
    </row>
    <row r="743">
      <c r="A743" t="inlineStr">
        <is>
          <t>PHS-0290</t>
        </is>
      </c>
      <c r="B743" t="inlineStr">
        <is>
          <t>https://wdwnt.com/2026/05/disney-world-pin-tuesday-sam-eagle-america-250th-anniversary-madam-mim-a-2-z-set/</t>
        </is>
      </c>
      <c r="C743" t="inlineStr">
        <is>
          <t>wdwnt.com</t>
        </is>
      </c>
      <c r="D743" t="inlineStr">
        <is>
          <t>secondary</t>
        </is>
      </c>
      <c r="E743" t="inlineStr">
        <is>
          <t>search snippet / page</t>
        </is>
      </c>
      <c r="F743" t="inlineStr"/>
      <c r="G743" t="inlineStr"/>
      <c r="H743" t="inlineStr"/>
    </row>
    <row r="744">
      <c r="A744" t="inlineStr">
        <is>
          <t>PHS-0291</t>
        </is>
      </c>
      <c r="B744" t="inlineStr">
        <is>
          <t>https://disneypinsblog.com/new-disney-pins-june-2026-week-1/</t>
        </is>
      </c>
      <c r="C744" t="inlineStr">
        <is>
          <t>disneypinsblog.com</t>
        </is>
      </c>
      <c r="D744" t="inlineStr">
        <is>
          <t>secondary</t>
        </is>
      </c>
      <c r="E744" t="inlineStr">
        <is>
          <t>search snippet / page</t>
        </is>
      </c>
      <c r="F744" t="inlineStr"/>
      <c r="G744" t="inlineStr"/>
      <c r="H744" t="inlineStr"/>
    </row>
    <row r="745">
      <c r="A745" t="inlineStr">
        <is>
          <t>PHS-0291</t>
        </is>
      </c>
      <c r="B745" t="inlineStr">
        <is>
          <t>https://disneypinsblog.com/new-disney-pins-june-2026-week-3/</t>
        </is>
      </c>
      <c r="C745" t="inlineStr">
        <is>
          <t>disneypinsblog.com</t>
        </is>
      </c>
      <c r="D745" t="inlineStr">
        <is>
          <t>secondary</t>
        </is>
      </c>
      <c r="E745" t="inlineStr">
        <is>
          <t>search snippet / page</t>
        </is>
      </c>
      <c r="F745" t="inlineStr"/>
      <c r="G745" t="inlineStr"/>
      <c r="H745" t="inlineStr"/>
    </row>
    <row r="746">
      <c r="A746" t="inlineStr">
        <is>
          <t>PHS-0291</t>
        </is>
      </c>
      <c r="B746" t="inlineStr">
        <is>
          <t>https://wdwnt.com/2026/06/disney-world-pin-tuesday-250th-independence-day-animal-kingdom-daring-detectives/</t>
        </is>
      </c>
      <c r="C746" t="inlineStr">
        <is>
          <t>wdwnt.com</t>
        </is>
      </c>
      <c r="D746" t="inlineStr">
        <is>
          <t>secondary</t>
        </is>
      </c>
      <c r="E746" t="inlineStr">
        <is>
          <t>search snippet / page</t>
        </is>
      </c>
      <c r="F746" t="inlineStr"/>
      <c r="G746" t="inlineStr"/>
      <c r="H746" t="inlineStr"/>
    </row>
    <row r="747">
      <c r="A747" t="inlineStr">
        <is>
          <t>PHS-0291</t>
        </is>
      </c>
      <c r="B747" t="inlineStr">
        <is>
          <t>https://wdwnt.com/2026/06/walt-disney-world-pin-tuesday-four-limited-edition-pins-with-finding-dory-and-multiple-disney-daring-detectives/</t>
        </is>
      </c>
      <c r="C747" t="inlineStr">
        <is>
          <t>wdwnt.com</t>
        </is>
      </c>
      <c r="D747" t="inlineStr">
        <is>
          <t>secondary</t>
        </is>
      </c>
      <c r="E747" t="inlineStr">
        <is>
          <t>search snippet / page</t>
        </is>
      </c>
      <c r="F747" t="inlineStr"/>
      <c r="G747" t="inlineStr"/>
      <c r="H747" t="inlineStr"/>
    </row>
    <row r="748">
      <c r="A748" t="inlineStr">
        <is>
          <t>PHS-0292</t>
        </is>
      </c>
      <c r="B748" t="inlineStr">
        <is>
          <t>https://disneypinsblog.com/new-disney-pins-june-2026-week-1/</t>
        </is>
      </c>
      <c r="C748" t="inlineStr">
        <is>
          <t>disneypinsblog.com</t>
        </is>
      </c>
      <c r="D748" t="inlineStr">
        <is>
          <t>secondary</t>
        </is>
      </c>
      <c r="E748" t="inlineStr">
        <is>
          <t>search snippet / page</t>
        </is>
      </c>
      <c r="F748" t="inlineStr"/>
      <c r="G748" t="inlineStr"/>
      <c r="H748" t="inlineStr"/>
    </row>
    <row r="749">
      <c r="A749" t="inlineStr">
        <is>
          <t>PHS-0292</t>
        </is>
      </c>
      <c r="B749" t="inlineStr">
        <is>
          <t>https://wdwnt.com/2026/06/walt-disney-world-pin-tuesday-four-limited-edition-pins-with-finding-dory-and-multiple-disney-daring-detectives/</t>
        </is>
      </c>
      <c r="C749" t="inlineStr">
        <is>
          <t>wdwnt.com</t>
        </is>
      </c>
      <c r="D749" t="inlineStr">
        <is>
          <t>secondary</t>
        </is>
      </c>
      <c r="E749" t="inlineStr">
        <is>
          <t>search snippet / page</t>
        </is>
      </c>
      <c r="F749" t="inlineStr"/>
      <c r="G749" t="inlineStr"/>
      <c r="H749" t="inlineStr"/>
    </row>
    <row r="750">
      <c r="A750" t="inlineStr">
        <is>
          <t>PHS-0293</t>
        </is>
      </c>
      <c r="B750" t="inlineStr">
        <is>
          <t>https://www.disneystore.eu/esmeralda-and-frollo-limited-release-pin-the-hunchback-of-notre-dame-30th-anniversary-438010914695.html</t>
        </is>
      </c>
      <c r="C750" t="inlineStr">
        <is>
          <t>disneystore.eu</t>
        </is>
      </c>
      <c r="D750" t="inlineStr">
        <is>
          <t>official</t>
        </is>
      </c>
      <c r="E750" t="inlineStr">
        <is>
          <t>search snippet / page</t>
        </is>
      </c>
      <c r="F750" t="inlineStr"/>
      <c r="G750" t="inlineStr"/>
      <c r="H750" t="inlineStr"/>
    </row>
    <row r="751">
      <c r="A751" t="inlineStr">
        <is>
          <t>PHS-0293</t>
        </is>
      </c>
      <c r="B751" t="inlineStr">
        <is>
          <t>https://disneypinsblog.com/the-hunchback-of-notre-dame-30th-anniversary-pin-at-disney-store/</t>
        </is>
      </c>
      <c r="C751" t="inlineStr">
        <is>
          <t>disneypinsblog.com</t>
        </is>
      </c>
      <c r="D751" t="inlineStr">
        <is>
          <t>secondary</t>
        </is>
      </c>
      <c r="E751" t="inlineStr">
        <is>
          <t>search snippet / page</t>
        </is>
      </c>
      <c r="F751" t="inlineStr"/>
      <c r="G751" t="inlineStr"/>
      <c r="H751" t="inlineStr"/>
    </row>
    <row r="752">
      <c r="A752" t="inlineStr">
        <is>
          <t>PHS-0293</t>
        </is>
      </c>
      <c r="B752" t="inlineStr">
        <is>
          <t>https://wdwnt.com/2026/06/disney-world-pin-tuesday-even-more-daring-detectives-the-hunchback-of-notre-dame-30th-anniversary-and-enchanted-doors/</t>
        </is>
      </c>
      <c r="C752" t="inlineStr">
        <is>
          <t>wdwnt.com</t>
        </is>
      </c>
      <c r="D752" t="inlineStr">
        <is>
          <t>secondary</t>
        </is>
      </c>
      <c r="E752" t="inlineStr">
        <is>
          <t>search snippet / page</t>
        </is>
      </c>
      <c r="F752" t="inlineStr"/>
      <c r="G752" t="inlineStr"/>
      <c r="H752" t="inlineStr"/>
    </row>
    <row r="753">
      <c r="A753" t="inlineStr">
        <is>
          <t>PHS-0294</t>
        </is>
      </c>
      <c r="B753" t="inlineStr">
        <is>
          <t>https://wdwnt.com/2026/06/disney-world-pin-tuesday-250th-independence-day-animal-kingdom-daring-detectives/</t>
        </is>
      </c>
      <c r="C753" t="inlineStr">
        <is>
          <t>wdwnt.com</t>
        </is>
      </c>
      <c r="D753" t="inlineStr">
        <is>
          <t>secondary</t>
        </is>
      </c>
      <c r="E753" t="inlineStr">
        <is>
          <t>search snippet / page</t>
        </is>
      </c>
      <c r="F753" t="inlineStr"/>
      <c r="G753" t="inlineStr"/>
      <c r="H753" t="inlineStr"/>
    </row>
    <row r="754">
      <c r="A754" t="inlineStr">
        <is>
          <t>PHS-0295</t>
        </is>
      </c>
      <c r="B754" t="inlineStr">
        <is>
          <t>https://disneybymark.com/2026/09/55th-anniversary-pins-featuring-mickey-minnie-park-icons-arrive-at-walt-disney-world/</t>
        </is>
      </c>
      <c r="C754" t="inlineStr">
        <is>
          <t>disneybymark.com</t>
        </is>
      </c>
      <c r="D754" t="inlineStr">
        <is>
          <t>secondary</t>
        </is>
      </c>
      <c r="E754" t="inlineStr">
        <is>
          <t>search snippet / page</t>
        </is>
      </c>
      <c r="F754" t="inlineStr"/>
      <c r="G754" t="inlineStr"/>
      <c r="H754" t="inlineStr"/>
    </row>
    <row r="755">
      <c r="A755" t="inlineStr">
        <is>
          <t>PHS-0295</t>
        </is>
      </c>
      <c r="B755" t="inlineStr">
        <is>
          <t>https://disneypinsblog.com/blogs/news/disneys-contemporary-resort-polynesian-village-resort-55th-anniversary-pins</t>
        </is>
      </c>
      <c r="C755" t="inlineStr">
        <is>
          <t>disneypinsblog.com</t>
        </is>
      </c>
      <c r="D755" t="inlineStr">
        <is>
          <t>secondary</t>
        </is>
      </c>
      <c r="E755" t="inlineStr">
        <is>
          <t>search snippet / page</t>
        </is>
      </c>
      <c r="F755" t="inlineStr"/>
      <c r="G755" t="inlineStr"/>
      <c r="H755" t="inlineStr"/>
    </row>
    <row r="756">
      <c r="A756" t="inlineStr">
        <is>
          <t>PHS-0295</t>
        </is>
      </c>
      <c r="B756" t="inlineStr">
        <is>
          <t>https://disneypinsblog.com/products/walt-disney-world-55th-anniversary-mini-jumbo-pin</t>
        </is>
      </c>
      <c r="C756" t="inlineStr">
        <is>
          <t>disneypinsblog.com</t>
        </is>
      </c>
      <c r="D756" t="inlineStr">
        <is>
          <t>secondary</t>
        </is>
      </c>
      <c r="E756" t="inlineStr">
        <is>
          <t>search snippet / page</t>
        </is>
      </c>
      <c r="F756" t="inlineStr"/>
      <c r="G756" t="inlineStr"/>
      <c r="H756" t="inlineStr"/>
    </row>
    <row r="757">
      <c r="A757" t="inlineStr">
        <is>
          <t>PHS-0295</t>
        </is>
      </c>
      <c r="B757" t="inlineStr">
        <is>
          <t>https://mickeyblog.com/2026/08/31/first-look-walt-disney-world-55-pins-will-debut-next-month/</t>
        </is>
      </c>
      <c r="C757" t="inlineStr">
        <is>
          <t>mickeyblog.com</t>
        </is>
      </c>
      <c r="D757" t="inlineStr">
        <is>
          <t>secondary</t>
        </is>
      </c>
      <c r="E757" t="inlineStr">
        <is>
          <t>search snippet / page</t>
        </is>
      </c>
      <c r="F757" t="inlineStr"/>
      <c r="G757" t="inlineStr"/>
      <c r="H757" t="inlineStr"/>
    </row>
    <row r="758">
      <c r="A758" t="inlineStr">
        <is>
          <t>PHS-0295</t>
        </is>
      </c>
      <c r="B758" t="inlineStr">
        <is>
          <t>https://wdwnt.com/2026/08/walt-disney-world-55th-anniversary-pins-coming-soon/</t>
        </is>
      </c>
      <c r="C758" t="inlineStr">
        <is>
          <t>wdwnt.com</t>
        </is>
      </c>
      <c r="D758" t="inlineStr">
        <is>
          <t>secondary</t>
        </is>
      </c>
      <c r="E758" t="inlineStr">
        <is>
          <t>search snippet / page</t>
        </is>
      </c>
      <c r="F758" t="inlineStr"/>
      <c r="G758" t="inlineStr"/>
      <c r="H758" t="inlineStr"/>
    </row>
    <row r="759">
      <c r="A759" t="inlineStr">
        <is>
          <t>PHS-0295</t>
        </is>
      </c>
      <c r="B759" t="inlineStr">
        <is>
          <t>https://wdwnt.com/2026/09/limited-edition-55th-anniversary-contemporary-and-polynesian-resort-pins-debut-at-walt-disney-world/</t>
        </is>
      </c>
      <c r="C759" t="inlineStr">
        <is>
          <t>wdwnt.com</t>
        </is>
      </c>
      <c r="D759" t="inlineStr">
        <is>
          <t>secondary</t>
        </is>
      </c>
      <c r="E759" t="inlineStr">
        <is>
          <t>search snippet / page</t>
        </is>
      </c>
      <c r="F759" t="inlineStr"/>
      <c r="G759" t="inlineStr"/>
      <c r="H759" t="inlineStr"/>
    </row>
    <row r="760">
      <c r="A760" t="inlineStr">
        <is>
          <t>PHS-0296</t>
        </is>
      </c>
      <c r="B760" t="inlineStr">
        <is>
          <t>https://disneyblog.com/news/walt-disney-world-reveals-october-2026-pin-releases/</t>
        </is>
      </c>
      <c r="C760" t="inlineStr">
        <is>
          <t>disneyblog.com</t>
        </is>
      </c>
      <c r="D760" t="inlineStr">
        <is>
          <t>secondary</t>
        </is>
      </c>
      <c r="E760" t="inlineStr">
        <is>
          <t>search snippet / page</t>
        </is>
      </c>
      <c r="F760" t="inlineStr"/>
      <c r="G760" t="inlineStr"/>
      <c r="H760" t="inlineStr"/>
    </row>
    <row r="761">
      <c r="A761" t="inlineStr">
        <is>
          <t>PHS-0296</t>
        </is>
      </c>
      <c r="B761" t="inlineStr">
        <is>
          <t>https://disneypinsblog.com/disney-parks-2026-monthly-pin-collections/</t>
        </is>
      </c>
      <c r="C761" t="inlineStr">
        <is>
          <t>disneypinsblog.com</t>
        </is>
      </c>
      <c r="D761" t="inlineStr">
        <is>
          <t>secondary</t>
        </is>
      </c>
      <c r="E761" t="inlineStr">
        <is>
          <t>search snippet / page</t>
        </is>
      </c>
      <c r="F761" t="inlineStr"/>
      <c r="G761" t="inlineStr"/>
      <c r="H761" t="inlineStr"/>
    </row>
    <row r="762">
      <c r="A762" t="inlineStr">
        <is>
          <t>PHS-0296</t>
        </is>
      </c>
      <c r="B762" t="inlineStr">
        <is>
          <t>https://disneypinsblog.com/new-disney-pins-april-2026-week-1/</t>
        </is>
      </c>
      <c r="C762" t="inlineStr">
        <is>
          <t>disneypinsblog.com</t>
        </is>
      </c>
      <c r="D762" t="inlineStr">
        <is>
          <t>secondary</t>
        </is>
      </c>
      <c r="E762" t="inlineStr">
        <is>
          <t>search snippet / page</t>
        </is>
      </c>
      <c r="F762" t="inlineStr"/>
      <c r="G762" t="inlineStr"/>
      <c r="H762" t="inlineStr"/>
    </row>
    <row r="763">
      <c r="A763" t="inlineStr">
        <is>
          <t>PHS-0296</t>
        </is>
      </c>
      <c r="B763" t="inlineStr">
        <is>
          <t>https://disneypinsblog.com/new-disney-pins-august-2026-week-1/</t>
        </is>
      </c>
      <c r="C763" t="inlineStr">
        <is>
          <t>disneypinsblog.com</t>
        </is>
      </c>
      <c r="D763" t="inlineStr">
        <is>
          <t>secondary</t>
        </is>
      </c>
      <c r="E763" t="inlineStr">
        <is>
          <t>search snippet / page</t>
        </is>
      </c>
      <c r="F763" t="inlineStr"/>
      <c r="G763" t="inlineStr"/>
      <c r="H763" t="inlineStr"/>
    </row>
    <row r="764">
      <c r="A764" t="inlineStr">
        <is>
          <t>PHS-0296</t>
        </is>
      </c>
      <c r="B764" t="inlineStr">
        <is>
          <t>https://disneypinsblog.com/new-disney-pins-january-2026-week-1/</t>
        </is>
      </c>
      <c r="C764" t="inlineStr">
        <is>
          <t>disneypinsblog.com</t>
        </is>
      </c>
      <c r="D764" t="inlineStr">
        <is>
          <t>secondary</t>
        </is>
      </c>
      <c r="E764" t="inlineStr">
        <is>
          <t>search snippet / page</t>
        </is>
      </c>
      <c r="F764" t="inlineStr"/>
      <c r="G764" t="inlineStr"/>
      <c r="H764" t="inlineStr"/>
    </row>
    <row r="765">
      <c r="A765" t="inlineStr">
        <is>
          <t>PHS-0296</t>
        </is>
      </c>
      <c r="B765" t="inlineStr">
        <is>
          <t>https://disneypinsblog.com/new-disney-pins-july-2026-week-1/</t>
        </is>
      </c>
      <c r="C765" t="inlineStr">
        <is>
          <t>disneypinsblog.com</t>
        </is>
      </c>
      <c r="D765" t="inlineStr">
        <is>
          <t>secondary</t>
        </is>
      </c>
      <c r="E765" t="inlineStr">
        <is>
          <t>search snippet / page</t>
        </is>
      </c>
      <c r="F765" t="inlineStr"/>
      <c r="G765" t="inlineStr"/>
      <c r="H7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4" t="inlineStr">
        <is>
          <t>sets by line x year (from Sets)</t>
        </is>
      </c>
      <c r="B1" s="4" t="n">
        <v>2020</v>
      </c>
      <c r="C1" s="4" t="n">
        <v>2021</v>
      </c>
      <c r="D1" s="4" t="n">
        <v>2022</v>
      </c>
      <c r="E1" s="4" t="n">
        <v>2023</v>
      </c>
      <c r="F1" s="4" t="n">
        <v>2024</v>
      </c>
      <c r="G1" s="4" t="n">
        <v>2025</v>
      </c>
      <c r="H1" s="4" t="n">
        <v>2026</v>
      </c>
      <c r="I1" s="4" t="inlineStr">
        <is>
          <t>total</t>
        </is>
      </c>
    </row>
    <row r="2">
      <c r="A2" t="inlineStr">
        <is>
          <t>Disneyland Paris</t>
        </is>
      </c>
      <c r="B2">
        <f>COUNTIFS(Sets!$C:$C,$A2,Sets!$F:$F,2020)</f>
        <v/>
      </c>
      <c r="C2">
        <f>COUNTIFS(Sets!$C:$C,$A2,Sets!$F:$F,2021)</f>
        <v/>
      </c>
      <c r="D2">
        <f>COUNTIFS(Sets!$C:$C,$A2,Sets!$F:$F,2022)</f>
        <v/>
      </c>
      <c r="E2">
        <f>COUNTIFS(Sets!$C:$C,$A2,Sets!$F:$F,2023)</f>
        <v/>
      </c>
      <c r="F2">
        <f>COUNTIFS(Sets!$C:$C,$A2,Sets!$F:$F,2024)</f>
        <v/>
      </c>
      <c r="G2">
        <f>COUNTIFS(Sets!$C:$C,$A2,Sets!$F:$F,2025)</f>
        <v/>
      </c>
      <c r="H2">
        <f>COUNTIFS(Sets!$C:$C,$A2,Sets!$F:$F,2026)</f>
        <v/>
      </c>
      <c r="I2">
        <f>SUM(B2:H2)</f>
        <v/>
      </c>
    </row>
    <row r="3">
      <c r="A3" t="inlineStr">
        <is>
          <t>Disney Store UK</t>
        </is>
      </c>
      <c r="B3">
        <f>COUNTIFS(Sets!$C:$C,$A3,Sets!$F:$F,2020)</f>
        <v/>
      </c>
      <c r="C3">
        <f>COUNTIFS(Sets!$C:$C,$A3,Sets!$F:$F,2021)</f>
        <v/>
      </c>
      <c r="D3">
        <f>COUNTIFS(Sets!$C:$C,$A3,Sets!$F:$F,2022)</f>
        <v/>
      </c>
      <c r="E3">
        <f>COUNTIFS(Sets!$C:$C,$A3,Sets!$F:$F,2023)</f>
        <v/>
      </c>
      <c r="F3">
        <f>COUNTIFS(Sets!$C:$C,$A3,Sets!$F:$F,2024)</f>
        <v/>
      </c>
      <c r="G3">
        <f>COUNTIFS(Sets!$C:$C,$A3,Sets!$F:$F,2025)</f>
        <v/>
      </c>
      <c r="H3">
        <f>COUNTIFS(Sets!$C:$C,$A3,Sets!$F:$F,2026)</f>
        <v/>
      </c>
      <c r="I3">
        <f>SUM(B3:H3)</f>
        <v/>
      </c>
    </row>
    <row r="4">
      <c r="A4" t="inlineStr">
        <is>
          <t>Walt Disney World</t>
        </is>
      </c>
      <c r="B4">
        <f>COUNTIFS(Sets!$C:$C,$A4,Sets!$F:$F,2020)</f>
        <v/>
      </c>
      <c r="C4">
        <f>COUNTIFS(Sets!$C:$C,$A4,Sets!$F:$F,2021)</f>
        <v/>
      </c>
      <c r="D4">
        <f>COUNTIFS(Sets!$C:$C,$A4,Sets!$F:$F,2022)</f>
        <v/>
      </c>
      <c r="E4">
        <f>COUNTIFS(Sets!$C:$C,$A4,Sets!$F:$F,2023)</f>
        <v/>
      </c>
      <c r="F4">
        <f>COUNTIFS(Sets!$C:$C,$A4,Sets!$F:$F,2024)</f>
        <v/>
      </c>
      <c r="G4">
        <f>COUNTIFS(Sets!$C:$C,$A4,Sets!$F:$F,2025)</f>
        <v/>
      </c>
      <c r="H4">
        <f>COUNTIFS(Sets!$C:$C,$A4,Sets!$F:$F,2026)</f>
        <v/>
      </c>
      <c r="I4">
        <f>SUM(B4:H4)</f>
        <v/>
      </c>
    </row>
    <row r="5">
      <c r="A5" t="inlineStr">
        <is>
          <t>Disneyland Resort</t>
        </is>
      </c>
      <c r="B5">
        <f>COUNTIFS(Sets!$C:$C,$A5,Sets!$F:$F,2020)</f>
        <v/>
      </c>
      <c r="C5">
        <f>COUNTIFS(Sets!$C:$C,$A5,Sets!$F:$F,2021)</f>
        <v/>
      </c>
      <c r="D5">
        <f>COUNTIFS(Sets!$C:$C,$A5,Sets!$F:$F,2022)</f>
        <v/>
      </c>
      <c r="E5">
        <f>COUNTIFS(Sets!$C:$C,$A5,Sets!$F:$F,2023)</f>
        <v/>
      </c>
      <c r="F5">
        <f>COUNTIFS(Sets!$C:$C,$A5,Sets!$F:$F,2024)</f>
        <v/>
      </c>
      <c r="G5">
        <f>COUNTIFS(Sets!$C:$C,$A5,Sets!$F:$F,2025)</f>
        <v/>
      </c>
      <c r="H5">
        <f>COUNTIFS(Sets!$C:$C,$A5,Sets!$F:$F,2026)</f>
        <v/>
      </c>
      <c r="I5">
        <f>SUM(B5:H5)</f>
        <v/>
      </c>
    </row>
    <row r="6">
      <c r="A6" t="inlineStr">
        <is>
          <t>Brush Of Magic</t>
        </is>
      </c>
      <c r="B6">
        <f>COUNTIFS(Sets!$C:$C,$A6,Sets!$F:$F,2020)</f>
        <v/>
      </c>
      <c r="C6">
        <f>COUNTIFS(Sets!$C:$C,$A6,Sets!$F:$F,2021)</f>
        <v/>
      </c>
      <c r="D6">
        <f>COUNTIFS(Sets!$C:$C,$A6,Sets!$F:$F,2022)</f>
        <v/>
      </c>
      <c r="E6">
        <f>COUNTIFS(Sets!$C:$C,$A6,Sets!$F:$F,2023)</f>
        <v/>
      </c>
      <c r="F6">
        <f>COUNTIFS(Sets!$C:$C,$A6,Sets!$F:$F,2024)</f>
        <v/>
      </c>
      <c r="G6">
        <f>COUNTIFS(Sets!$C:$C,$A6,Sets!$F:$F,2025)</f>
        <v/>
      </c>
      <c r="H6">
        <f>COUNTIFS(Sets!$C:$C,$A6,Sets!$F:$F,2026)</f>
        <v/>
      </c>
      <c r="I6">
        <f>SUM(B6:H6)</f>
        <v/>
      </c>
    </row>
    <row r="7">
      <c r="A7" t="inlineStr">
        <is>
          <t>Animated Cuties</t>
        </is>
      </c>
      <c r="B7">
        <f>COUNTIFS(Sets!$C:$C,$A7,Sets!$F:$F,2020)</f>
        <v/>
      </c>
      <c r="C7">
        <f>COUNTIFS(Sets!$C:$C,$A7,Sets!$F:$F,2021)</f>
        <v/>
      </c>
      <c r="D7">
        <f>COUNTIFS(Sets!$C:$C,$A7,Sets!$F:$F,2022)</f>
        <v/>
      </c>
      <c r="E7">
        <f>COUNTIFS(Sets!$C:$C,$A7,Sets!$F:$F,2023)</f>
        <v/>
      </c>
      <c r="F7">
        <f>COUNTIFS(Sets!$C:$C,$A7,Sets!$F:$F,2024)</f>
        <v/>
      </c>
      <c r="G7">
        <f>COUNTIFS(Sets!$C:$C,$A7,Sets!$F:$F,2025)</f>
        <v/>
      </c>
      <c r="H7">
        <f>COUNTIFS(Sets!$C:$C,$A7,Sets!$F:$F,2026)</f>
        <v/>
      </c>
      <c r="I7">
        <f>SUM(B7:H7)</f>
        <v/>
      </c>
    </row>
    <row r="9">
      <c r="A9" s="4" t="inlineStr">
        <is>
          <t>pins found by line x year</t>
        </is>
      </c>
    </row>
    <row r="10">
      <c r="A10" t="inlineStr">
        <is>
          <t>Disneyland Paris</t>
        </is>
      </c>
      <c r="B10">
        <f>SUMIFS(Sets!$R:$R,Sets!$C:$C,$A10,Sets!$F:$F,2020)</f>
        <v/>
      </c>
      <c r="C10">
        <f>SUMIFS(Sets!$R:$R,Sets!$C:$C,$A10,Sets!$F:$F,2021)</f>
        <v/>
      </c>
      <c r="D10">
        <f>SUMIFS(Sets!$R:$R,Sets!$C:$C,$A10,Sets!$F:$F,2022)</f>
        <v/>
      </c>
      <c r="E10">
        <f>SUMIFS(Sets!$R:$R,Sets!$C:$C,$A10,Sets!$F:$F,2023)</f>
        <v/>
      </c>
      <c r="F10">
        <f>SUMIFS(Sets!$R:$R,Sets!$C:$C,$A10,Sets!$F:$F,2024)</f>
        <v/>
      </c>
      <c r="G10">
        <f>SUMIFS(Sets!$R:$R,Sets!$C:$C,$A10,Sets!$F:$F,2025)</f>
        <v/>
      </c>
      <c r="H10">
        <f>SUMIFS(Sets!$R:$R,Sets!$C:$C,$A10,Sets!$F:$F,2026)</f>
        <v/>
      </c>
    </row>
    <row r="11">
      <c r="A11" t="inlineStr">
        <is>
          <t>Disney Store UK</t>
        </is>
      </c>
      <c r="B11">
        <f>SUMIFS(Sets!$R:$R,Sets!$C:$C,$A11,Sets!$F:$F,2020)</f>
        <v/>
      </c>
      <c r="C11">
        <f>SUMIFS(Sets!$R:$R,Sets!$C:$C,$A11,Sets!$F:$F,2021)</f>
        <v/>
      </c>
      <c r="D11">
        <f>SUMIFS(Sets!$R:$R,Sets!$C:$C,$A11,Sets!$F:$F,2022)</f>
        <v/>
      </c>
      <c r="E11">
        <f>SUMIFS(Sets!$R:$R,Sets!$C:$C,$A11,Sets!$F:$F,2023)</f>
        <v/>
      </c>
      <c r="F11">
        <f>SUMIFS(Sets!$R:$R,Sets!$C:$C,$A11,Sets!$F:$F,2024)</f>
        <v/>
      </c>
      <c r="G11">
        <f>SUMIFS(Sets!$R:$R,Sets!$C:$C,$A11,Sets!$F:$F,2025)</f>
        <v/>
      </c>
      <c r="H11">
        <f>SUMIFS(Sets!$R:$R,Sets!$C:$C,$A11,Sets!$F:$F,2026)</f>
        <v/>
      </c>
    </row>
    <row r="12">
      <c r="A12" t="inlineStr">
        <is>
          <t>Walt Disney World</t>
        </is>
      </c>
      <c r="B12">
        <f>SUMIFS(Sets!$R:$R,Sets!$C:$C,$A12,Sets!$F:$F,2020)</f>
        <v/>
      </c>
      <c r="C12">
        <f>SUMIFS(Sets!$R:$R,Sets!$C:$C,$A12,Sets!$F:$F,2021)</f>
        <v/>
      </c>
      <c r="D12">
        <f>SUMIFS(Sets!$R:$R,Sets!$C:$C,$A12,Sets!$F:$F,2022)</f>
        <v/>
      </c>
      <c r="E12">
        <f>SUMIFS(Sets!$R:$R,Sets!$C:$C,$A12,Sets!$F:$F,2023)</f>
        <v/>
      </c>
      <c r="F12">
        <f>SUMIFS(Sets!$R:$R,Sets!$C:$C,$A12,Sets!$F:$F,2024)</f>
        <v/>
      </c>
      <c r="G12">
        <f>SUMIFS(Sets!$R:$R,Sets!$C:$C,$A12,Sets!$F:$F,2025)</f>
        <v/>
      </c>
      <c r="H12">
        <f>SUMIFS(Sets!$R:$R,Sets!$C:$C,$A12,Sets!$F:$F,2026)</f>
        <v/>
      </c>
    </row>
    <row r="13">
      <c r="A13" t="inlineStr">
        <is>
          <t>Disneyland Resort</t>
        </is>
      </c>
      <c r="B13">
        <f>SUMIFS(Sets!$R:$R,Sets!$C:$C,$A13,Sets!$F:$F,2020)</f>
        <v/>
      </c>
      <c r="C13">
        <f>SUMIFS(Sets!$R:$R,Sets!$C:$C,$A13,Sets!$F:$F,2021)</f>
        <v/>
      </c>
      <c r="D13">
        <f>SUMIFS(Sets!$R:$R,Sets!$C:$C,$A13,Sets!$F:$F,2022)</f>
        <v/>
      </c>
      <c r="E13">
        <f>SUMIFS(Sets!$R:$R,Sets!$C:$C,$A13,Sets!$F:$F,2023)</f>
        <v/>
      </c>
      <c r="F13">
        <f>SUMIFS(Sets!$R:$R,Sets!$C:$C,$A13,Sets!$F:$F,2024)</f>
        <v/>
      </c>
      <c r="G13">
        <f>SUMIFS(Sets!$R:$R,Sets!$C:$C,$A13,Sets!$F:$F,2025)</f>
        <v/>
      </c>
      <c r="H13">
        <f>SUMIFS(Sets!$R:$R,Sets!$C:$C,$A13,Sets!$F:$F,2026)</f>
        <v/>
      </c>
    </row>
    <row r="14">
      <c r="A14" t="inlineStr">
        <is>
          <t>Brush Of Magic</t>
        </is>
      </c>
      <c r="B14">
        <f>SUMIFS(Sets!$R:$R,Sets!$C:$C,$A14,Sets!$F:$F,2020)</f>
        <v/>
      </c>
      <c r="C14">
        <f>SUMIFS(Sets!$R:$R,Sets!$C:$C,$A14,Sets!$F:$F,2021)</f>
        <v/>
      </c>
      <c r="D14">
        <f>SUMIFS(Sets!$R:$R,Sets!$C:$C,$A14,Sets!$F:$F,2022)</f>
        <v/>
      </c>
      <c r="E14">
        <f>SUMIFS(Sets!$R:$R,Sets!$C:$C,$A14,Sets!$F:$F,2023)</f>
        <v/>
      </c>
      <c r="F14">
        <f>SUMIFS(Sets!$R:$R,Sets!$C:$C,$A14,Sets!$F:$F,2024)</f>
        <v/>
      </c>
      <c r="G14">
        <f>SUMIFS(Sets!$R:$R,Sets!$C:$C,$A14,Sets!$F:$F,2025)</f>
        <v/>
      </c>
      <c r="H14">
        <f>SUMIFS(Sets!$R:$R,Sets!$C:$C,$A14,Sets!$F:$F,2026)</f>
        <v/>
      </c>
    </row>
    <row r="15">
      <c r="A15" t="inlineStr">
        <is>
          <t>Animated Cuties</t>
        </is>
      </c>
      <c r="B15">
        <f>SUMIFS(Sets!$R:$R,Sets!$C:$C,$A15,Sets!$F:$F,2020)</f>
        <v/>
      </c>
      <c r="C15">
        <f>SUMIFS(Sets!$R:$R,Sets!$C:$C,$A15,Sets!$F:$F,2021)</f>
        <v/>
      </c>
      <c r="D15">
        <f>SUMIFS(Sets!$R:$R,Sets!$C:$C,$A15,Sets!$F:$F,2022)</f>
        <v/>
      </c>
      <c r="E15">
        <f>SUMIFS(Sets!$R:$R,Sets!$C:$C,$A15,Sets!$F:$F,2023)</f>
        <v/>
      </c>
      <c r="F15">
        <f>SUMIFS(Sets!$R:$R,Sets!$C:$C,$A15,Sets!$F:$F,2024)</f>
        <v/>
      </c>
      <c r="G15">
        <f>SUMIFS(Sets!$R:$R,Sets!$C:$C,$A15,Sets!$F:$F,2025)</f>
        <v/>
      </c>
      <c r="H15">
        <f>SUMIFS(Sets!$R:$R,Sets!$C:$C,$A15,Sets!$F:$F,2026)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line / origin</t>
        </is>
      </c>
      <c r="B1" t="inlineStr">
        <is>
          <t>format</t>
        </is>
      </c>
      <c r="C1" t="inlineStr">
        <is>
          <t>status</t>
        </is>
      </c>
      <c r="D1" t="inlineStr">
        <is>
          <t>source_class</t>
        </is>
      </c>
      <c r="E1" t="inlineStr">
        <is>
          <t>image_status</t>
        </is>
      </c>
    </row>
    <row r="2">
      <c r="A2" t="inlineStr">
        <is>
          <t>Disneyland Paris</t>
        </is>
      </c>
      <c r="B2" t="inlineStr">
        <is>
          <t>single pin</t>
        </is>
      </c>
      <c r="C2" t="inlineStr">
        <is>
          <t>discovered</t>
        </is>
      </c>
      <c r="D2" t="inlineStr">
        <is>
          <t>official</t>
        </is>
      </c>
      <c r="E2" t="inlineStr">
        <is>
          <t>none</t>
        </is>
      </c>
    </row>
    <row r="3">
      <c r="A3" t="inlineStr">
        <is>
          <t>Disney Store UK</t>
        </is>
      </c>
      <c r="B3" t="inlineStr">
        <is>
          <t>boxed set</t>
        </is>
      </c>
      <c r="C3" t="inlineStr">
        <is>
          <t>evidenced</t>
        </is>
      </c>
      <c r="D3" t="inlineStr">
        <is>
          <t>licensee</t>
        </is>
      </c>
      <c r="E3" t="inlineStr">
        <is>
          <t>own photo</t>
        </is>
      </c>
    </row>
    <row r="4">
      <c r="A4" t="inlineStr">
        <is>
          <t>Disney Store EU</t>
        </is>
      </c>
      <c r="B4" t="inlineStr">
        <is>
          <t>booster</t>
        </is>
      </c>
      <c r="C4" t="inlineStr">
        <is>
          <t>evidenced (held)</t>
        </is>
      </c>
      <c r="D4" t="inlineStr">
        <is>
          <t>news</t>
        </is>
      </c>
      <c r="E4" t="inlineStr">
        <is>
          <t>contributor photo (licensed)</t>
        </is>
      </c>
    </row>
    <row r="5">
      <c r="A5" t="inlineStr">
        <is>
          <t>shopDisney US</t>
        </is>
      </c>
      <c r="B5" t="inlineStr">
        <is>
          <t>mystery box/pouch</t>
        </is>
      </c>
      <c r="C5" t="inlineStr">
        <is>
          <t>checked</t>
        </is>
      </c>
      <c r="D5" t="inlineStr">
        <is>
          <t>fan</t>
        </is>
      </c>
      <c r="E5" t="inlineStr">
        <is>
          <t>official link only (no copy)</t>
        </is>
      </c>
    </row>
    <row r="6">
      <c r="A6" t="inlineStr">
        <is>
          <t>Walt Disney World</t>
        </is>
      </c>
      <c r="B6" t="inlineStr">
        <is>
          <t>starter set</t>
        </is>
      </c>
      <c r="C6" t="inlineStr">
        <is>
          <t>approved</t>
        </is>
      </c>
      <c r="D6" t="inlineStr">
        <is>
          <t>fan database (discovery only)</t>
        </is>
      </c>
      <c r="E6" t="inlineStr">
        <is>
          <t>licensed feed image</t>
        </is>
      </c>
    </row>
    <row r="7">
      <c r="A7" t="inlineStr">
        <is>
          <t>Disneyland Resort</t>
        </is>
      </c>
      <c r="B7" t="inlineStr">
        <is>
          <t>lanyard set</t>
        </is>
      </c>
      <c r="C7" t="inlineStr">
        <is>
          <t>imported</t>
        </is>
      </c>
      <c r="D7" t="inlineStr">
        <is>
          <t>own photo</t>
        </is>
      </c>
      <c r="E7" t="inlineStr">
        <is>
          <t>do not use</t>
        </is>
      </c>
    </row>
    <row r="8">
      <c r="A8" t="inlineStr">
        <is>
          <t>Tokyo Disney Resort</t>
        </is>
      </c>
      <c r="B8" t="inlineStr">
        <is>
          <t>jumbo</t>
        </is>
      </c>
      <c r="C8" t="inlineStr">
        <is>
          <t>rejected</t>
        </is>
      </c>
      <c r="D8" t="inlineStr"/>
      <c r="E8" t="inlineStr"/>
    </row>
    <row r="9">
      <c r="A9" t="inlineStr">
        <is>
          <t>Shanghai Disney Resort</t>
        </is>
      </c>
      <c r="B9" t="inlineStr">
        <is>
          <t>event set</t>
        </is>
      </c>
      <c r="C9" t="inlineStr"/>
      <c r="D9" t="inlineStr"/>
      <c r="E9" t="inlineStr"/>
    </row>
    <row r="10">
      <c r="A10" t="inlineStr">
        <is>
          <t>Hong Kong Disneyland</t>
        </is>
      </c>
      <c r="B10" t="inlineStr">
        <is>
          <t>advent calendar</t>
        </is>
      </c>
      <c r="C10" t="inlineStr"/>
      <c r="D10" t="inlineStr"/>
      <c r="E10" t="inlineStr"/>
    </row>
    <row r="11">
      <c r="A11" t="inlineStr">
        <is>
          <t>Loungefly</t>
        </is>
      </c>
      <c r="B11" t="inlineStr"/>
      <c r="C11" t="inlineStr"/>
      <c r="D11" t="inlineStr"/>
      <c r="E11" t="inlineStr"/>
    </row>
    <row r="12">
      <c r="A12" t="inlineStr">
        <is>
          <t>Artland</t>
        </is>
      </c>
      <c r="B12" t="inlineStr"/>
      <c r="C12" t="inlineStr"/>
      <c r="D12" t="inlineStr"/>
      <c r="E12" t="inlineStr"/>
    </row>
    <row r="13">
      <c r="A13" t="inlineStr">
        <is>
          <t>Other licensee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2026-10-16T06:25:26Z</dcterms:created>
  <dcterms:modified xmlns:dcterms="http://purl.org/dc/terms/" xmlns:xsi="http://www.w3.org/2001/XMLSchema-instance" xsi:type="dcterms:W3CDTF">2026-10-16T06:25:26Z</dcterms:modified>
</cp:coreProperties>
</file>